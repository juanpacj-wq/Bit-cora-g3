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unoz\Desktop\"/>
    </mc:Choice>
  </mc:AlternateContent>
  <xr:revisionPtr revIDLastSave="0" documentId="13_ncr:1_{F0246BF1-ACC7-4E60-B1B5-1DFFD1FFC5EC}" xr6:coauthVersionLast="47" xr6:coauthVersionMax="47" xr10:uidLastSave="{00000000-0000-0000-0000-000000000000}"/>
  <bookViews>
    <workbookView xWindow="-120" yWindow="-120" windowWidth="29040" windowHeight="15720" activeTab="1" xr2:uid="{1A5B6EE4-65BB-4EB0-97F0-D690280C3B1A}"/>
  </bookViews>
  <sheets>
    <sheet name="Reporte de Gerencia" sheetId="31" r:id="rId1"/>
    <sheet name="Dia 01" sheetId="1" r:id="rId2"/>
    <sheet name="Dia 02" sheetId="2" r:id="rId3"/>
    <sheet name="Dia 03" sheetId="3" r:id="rId4"/>
    <sheet name="Dia 04" sheetId="4" r:id="rId5"/>
    <sheet name="Dia 05" sheetId="5" r:id="rId6"/>
    <sheet name="Dia 06" sheetId="6" r:id="rId7"/>
    <sheet name="Dia 07" sheetId="7" r:id="rId8"/>
    <sheet name="Dia 08" sheetId="8" r:id="rId9"/>
    <sheet name="Dia 09" sheetId="9" r:id="rId10"/>
    <sheet name="Dia 10" sheetId="10" r:id="rId11"/>
    <sheet name="Dia 11" sheetId="11" r:id="rId12"/>
    <sheet name="Dia 12" sheetId="12" r:id="rId13"/>
    <sheet name="Dia 13" sheetId="13" r:id="rId14"/>
    <sheet name="Dia 14" sheetId="14" r:id="rId15"/>
    <sheet name="Dia 15" sheetId="15" r:id="rId16"/>
    <sheet name="Dia 16" sheetId="16" r:id="rId17"/>
    <sheet name="Dia 17" sheetId="17" r:id="rId18"/>
    <sheet name="Dia 18" sheetId="18" r:id="rId19"/>
    <sheet name="Dia 19" sheetId="19" r:id="rId20"/>
    <sheet name="Dia 20" sheetId="20" r:id="rId21"/>
    <sheet name="Dia 21" sheetId="21" r:id="rId22"/>
    <sheet name="Dia 22" sheetId="22" r:id="rId23"/>
    <sheet name="Dia 23" sheetId="23" r:id="rId24"/>
    <sheet name="Dia 24" sheetId="24" r:id="rId25"/>
    <sheet name="Dia 25" sheetId="25" r:id="rId26"/>
    <sheet name="Dia 26" sheetId="26" r:id="rId27"/>
    <sheet name="Dia 27" sheetId="27" r:id="rId28"/>
    <sheet name="Dia 28" sheetId="28" r:id="rId29"/>
    <sheet name="Dia 29" sheetId="29" r:id="rId30"/>
    <sheet name="Dia 30" sheetId="30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6" i="30" l="1"/>
  <c r="W82" i="30"/>
  <c r="V82" i="30"/>
  <c r="T82" i="30"/>
  <c r="S82" i="30"/>
  <c r="R82" i="30"/>
  <c r="Q82" i="30"/>
  <c r="P82" i="30"/>
  <c r="O82" i="30"/>
  <c r="N82" i="30"/>
  <c r="M82" i="30"/>
  <c r="G82" i="30"/>
  <c r="F82" i="30"/>
  <c r="I87" i="30" s="1"/>
  <c r="E82" i="30"/>
  <c r="D82" i="30"/>
  <c r="C82" i="30"/>
  <c r="B82" i="30"/>
  <c r="U81" i="30"/>
  <c r="K81" i="30" s="1"/>
  <c r="H81" i="30"/>
  <c r="L81" i="30" s="1"/>
  <c r="U80" i="30"/>
  <c r="K80" i="30" s="1"/>
  <c r="H80" i="30"/>
  <c r="L80" i="30" s="1"/>
  <c r="U79" i="30"/>
  <c r="K79" i="30" s="1"/>
  <c r="H79" i="30"/>
  <c r="L79" i="30" s="1"/>
  <c r="U78" i="30"/>
  <c r="K78" i="30" s="1"/>
  <c r="H78" i="30"/>
  <c r="L78" i="30" s="1"/>
  <c r="U77" i="30"/>
  <c r="K77" i="30" s="1"/>
  <c r="H77" i="30"/>
  <c r="L77" i="30" s="1"/>
  <c r="U76" i="30"/>
  <c r="K76" i="30" s="1"/>
  <c r="H76" i="30"/>
  <c r="L76" i="30" s="1"/>
  <c r="U75" i="30"/>
  <c r="K75" i="30" s="1"/>
  <c r="H75" i="30"/>
  <c r="L75" i="30" s="1"/>
  <c r="U74" i="30"/>
  <c r="K74" i="30" s="1"/>
  <c r="H74" i="30"/>
  <c r="L74" i="30" s="1"/>
  <c r="U73" i="30"/>
  <c r="K73" i="30" s="1"/>
  <c r="H73" i="30"/>
  <c r="L73" i="30" s="1"/>
  <c r="U72" i="30"/>
  <c r="K72" i="30" s="1"/>
  <c r="H72" i="30"/>
  <c r="L72" i="30" s="1"/>
  <c r="U71" i="30"/>
  <c r="K71" i="30" s="1"/>
  <c r="H71" i="30"/>
  <c r="L71" i="30" s="1"/>
  <c r="U70" i="30"/>
  <c r="K70" i="30" s="1"/>
  <c r="H70" i="30"/>
  <c r="L70" i="30" s="1"/>
  <c r="U69" i="30"/>
  <c r="K69" i="30" s="1"/>
  <c r="H69" i="30"/>
  <c r="L69" i="30" s="1"/>
  <c r="U68" i="30"/>
  <c r="K68" i="30" s="1"/>
  <c r="H68" i="30"/>
  <c r="L68" i="30" s="1"/>
  <c r="U67" i="30"/>
  <c r="K67" i="30" s="1"/>
  <c r="H67" i="30"/>
  <c r="L67" i="30" s="1"/>
  <c r="U66" i="30"/>
  <c r="K66" i="30" s="1"/>
  <c r="H66" i="30"/>
  <c r="L66" i="30" s="1"/>
  <c r="U65" i="30"/>
  <c r="K65" i="30" s="1"/>
  <c r="H65" i="30"/>
  <c r="L65" i="30" s="1"/>
  <c r="U64" i="30"/>
  <c r="K64" i="30" s="1"/>
  <c r="H64" i="30"/>
  <c r="L64" i="30" s="1"/>
  <c r="U63" i="30"/>
  <c r="K63" i="30" s="1"/>
  <c r="H63" i="30"/>
  <c r="L63" i="30" s="1"/>
  <c r="U62" i="30"/>
  <c r="K62" i="30" s="1"/>
  <c r="H62" i="30"/>
  <c r="L62" i="30" s="1"/>
  <c r="U61" i="30"/>
  <c r="K61" i="30" s="1"/>
  <c r="H61" i="30"/>
  <c r="L61" i="30" s="1"/>
  <c r="U60" i="30"/>
  <c r="K60" i="30" s="1"/>
  <c r="H60" i="30"/>
  <c r="L60" i="30" s="1"/>
  <c r="U59" i="30"/>
  <c r="K59" i="30" s="1"/>
  <c r="H59" i="30"/>
  <c r="L59" i="30" s="1"/>
  <c r="U58" i="30"/>
  <c r="K58" i="30" s="1"/>
  <c r="H58" i="30"/>
  <c r="L58" i="30" s="1"/>
  <c r="L52" i="30"/>
  <c r="G52" i="30"/>
  <c r="D52" i="30"/>
  <c r="B52" i="30"/>
  <c r="X40" i="30"/>
  <c r="W36" i="30"/>
  <c r="U36" i="30"/>
  <c r="T36" i="30"/>
  <c r="S36" i="30"/>
  <c r="R36" i="30"/>
  <c r="Q36" i="30"/>
  <c r="P36" i="30"/>
  <c r="J36" i="30"/>
  <c r="I36" i="30"/>
  <c r="H36" i="30"/>
  <c r="F36" i="30"/>
  <c r="E36" i="30"/>
  <c r="D36" i="30"/>
  <c r="C36" i="30"/>
  <c r="B36" i="30"/>
  <c r="V35" i="30"/>
  <c r="N35" i="30" s="1"/>
  <c r="K35" i="30"/>
  <c r="O35" i="30" s="1"/>
  <c r="G35" i="30"/>
  <c r="V34" i="30"/>
  <c r="N34" i="30" s="1"/>
  <c r="K34" i="30"/>
  <c r="O34" i="30" s="1"/>
  <c r="G34" i="30"/>
  <c r="V33" i="30"/>
  <c r="K33" i="30"/>
  <c r="O33" i="30" s="1"/>
  <c r="G33" i="30"/>
  <c r="N33" i="30" s="1"/>
  <c r="V32" i="30"/>
  <c r="O32" i="30"/>
  <c r="K32" i="30"/>
  <c r="G32" i="30"/>
  <c r="N32" i="30" s="1"/>
  <c r="V31" i="30"/>
  <c r="O31" i="30"/>
  <c r="K31" i="30"/>
  <c r="G31" i="30"/>
  <c r="N31" i="30" s="1"/>
  <c r="V30" i="30"/>
  <c r="K30" i="30"/>
  <c r="O30" i="30" s="1"/>
  <c r="G30" i="30"/>
  <c r="N30" i="30" s="1"/>
  <c r="V29" i="30"/>
  <c r="N29" i="30"/>
  <c r="K29" i="30"/>
  <c r="O29" i="30" s="1"/>
  <c r="G29" i="30"/>
  <c r="V28" i="30"/>
  <c r="N28" i="30"/>
  <c r="K28" i="30"/>
  <c r="O28" i="30" s="1"/>
  <c r="G28" i="30"/>
  <c r="V27" i="30"/>
  <c r="N27" i="30" s="1"/>
  <c r="K27" i="30"/>
  <c r="O27" i="30" s="1"/>
  <c r="G27" i="30"/>
  <c r="V26" i="30"/>
  <c r="N26" i="30" s="1"/>
  <c r="K26" i="30"/>
  <c r="O26" i="30" s="1"/>
  <c r="G26" i="30"/>
  <c r="V25" i="30"/>
  <c r="K25" i="30"/>
  <c r="O25" i="30" s="1"/>
  <c r="G25" i="30"/>
  <c r="N25" i="30" s="1"/>
  <c r="V24" i="30"/>
  <c r="O24" i="30"/>
  <c r="K24" i="30"/>
  <c r="G24" i="30"/>
  <c r="N24" i="30" s="1"/>
  <c r="V23" i="30"/>
  <c r="O23" i="30"/>
  <c r="K23" i="30"/>
  <c r="G23" i="30"/>
  <c r="N23" i="30" s="1"/>
  <c r="V22" i="30"/>
  <c r="K22" i="30"/>
  <c r="O22" i="30" s="1"/>
  <c r="G22" i="30"/>
  <c r="N22" i="30" s="1"/>
  <c r="V21" i="30"/>
  <c r="N21" i="30"/>
  <c r="K21" i="30"/>
  <c r="O21" i="30" s="1"/>
  <c r="G21" i="30"/>
  <c r="V20" i="30"/>
  <c r="N20" i="30"/>
  <c r="K20" i="30"/>
  <c r="O20" i="30" s="1"/>
  <c r="G20" i="30"/>
  <c r="V19" i="30"/>
  <c r="N19" i="30" s="1"/>
  <c r="K19" i="30"/>
  <c r="O19" i="30" s="1"/>
  <c r="G19" i="30"/>
  <c r="V18" i="30"/>
  <c r="N18" i="30" s="1"/>
  <c r="K18" i="30"/>
  <c r="O18" i="30" s="1"/>
  <c r="G18" i="30"/>
  <c r="V17" i="30"/>
  <c r="K17" i="30"/>
  <c r="O17" i="30" s="1"/>
  <c r="G17" i="30"/>
  <c r="N17" i="30" s="1"/>
  <c r="V16" i="30"/>
  <c r="N16" i="30" s="1"/>
  <c r="O16" i="30"/>
  <c r="K16" i="30"/>
  <c r="G16" i="30"/>
  <c r="V15" i="30"/>
  <c r="O15" i="30"/>
  <c r="K15" i="30"/>
  <c r="G15" i="30"/>
  <c r="N15" i="30" s="1"/>
  <c r="V14" i="30"/>
  <c r="K14" i="30"/>
  <c r="O14" i="30" s="1"/>
  <c r="G14" i="30"/>
  <c r="N14" i="30" s="1"/>
  <c r="V13" i="30"/>
  <c r="V36" i="30" s="1"/>
  <c r="N13" i="30"/>
  <c r="K13" i="30"/>
  <c r="O13" i="30" s="1"/>
  <c r="G13" i="30"/>
  <c r="V12" i="30"/>
  <c r="N12" i="30"/>
  <c r="K12" i="30"/>
  <c r="O12" i="30" s="1"/>
  <c r="G12" i="30"/>
  <c r="G36" i="30" s="1"/>
  <c r="U58" i="29"/>
  <c r="K58" i="29" s="1"/>
  <c r="V12" i="29"/>
  <c r="G35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12" i="29"/>
  <c r="N12" i="29" s="1"/>
  <c r="W86" i="29"/>
  <c r="W82" i="29"/>
  <c r="V82" i="29"/>
  <c r="T82" i="29"/>
  <c r="S82" i="29"/>
  <c r="R82" i="29"/>
  <c r="Q82" i="29"/>
  <c r="P82" i="29"/>
  <c r="O82" i="29"/>
  <c r="N82" i="29"/>
  <c r="M82" i="29"/>
  <c r="G82" i="29"/>
  <c r="F82" i="29"/>
  <c r="I87" i="29" s="1"/>
  <c r="E82" i="29"/>
  <c r="D82" i="29"/>
  <c r="C82" i="29"/>
  <c r="B82" i="29"/>
  <c r="U81" i="29"/>
  <c r="K81" i="29" s="1"/>
  <c r="H81" i="29"/>
  <c r="L81" i="29" s="1"/>
  <c r="U80" i="29"/>
  <c r="K80" i="29" s="1"/>
  <c r="H80" i="29"/>
  <c r="L80" i="29" s="1"/>
  <c r="U79" i="29"/>
  <c r="K79" i="29" s="1"/>
  <c r="H79" i="29"/>
  <c r="L79" i="29" s="1"/>
  <c r="U78" i="29"/>
  <c r="K78" i="29" s="1"/>
  <c r="H78" i="29"/>
  <c r="L78" i="29" s="1"/>
  <c r="U77" i="29"/>
  <c r="K77" i="29" s="1"/>
  <c r="H77" i="29"/>
  <c r="L77" i="29" s="1"/>
  <c r="U76" i="29"/>
  <c r="K76" i="29" s="1"/>
  <c r="H76" i="29"/>
  <c r="L76" i="29" s="1"/>
  <c r="U75" i="29"/>
  <c r="K75" i="29" s="1"/>
  <c r="H75" i="29"/>
  <c r="L75" i="29" s="1"/>
  <c r="U74" i="29"/>
  <c r="K74" i="29" s="1"/>
  <c r="H74" i="29"/>
  <c r="L74" i="29" s="1"/>
  <c r="U73" i="29"/>
  <c r="K73" i="29" s="1"/>
  <c r="H73" i="29"/>
  <c r="L73" i="29" s="1"/>
  <c r="U72" i="29"/>
  <c r="K72" i="29"/>
  <c r="H72" i="29"/>
  <c r="L72" i="29" s="1"/>
  <c r="U71" i="29"/>
  <c r="K71" i="29"/>
  <c r="H71" i="29"/>
  <c r="L71" i="29" s="1"/>
  <c r="U70" i="29"/>
  <c r="K70" i="29" s="1"/>
  <c r="H70" i="29"/>
  <c r="L70" i="29" s="1"/>
  <c r="U69" i="29"/>
  <c r="K69" i="29" s="1"/>
  <c r="H69" i="29"/>
  <c r="L69" i="29" s="1"/>
  <c r="U68" i="29"/>
  <c r="K68" i="29" s="1"/>
  <c r="H68" i="29"/>
  <c r="L68" i="29" s="1"/>
  <c r="U67" i="29"/>
  <c r="K67" i="29" s="1"/>
  <c r="H67" i="29"/>
  <c r="L67" i="29" s="1"/>
  <c r="U66" i="29"/>
  <c r="K66" i="29" s="1"/>
  <c r="H66" i="29"/>
  <c r="L66" i="29" s="1"/>
  <c r="U65" i="29"/>
  <c r="K65" i="29" s="1"/>
  <c r="H65" i="29"/>
  <c r="L65" i="29" s="1"/>
  <c r="U64" i="29"/>
  <c r="K64" i="29"/>
  <c r="H64" i="29"/>
  <c r="L64" i="29" s="1"/>
  <c r="U63" i="29"/>
  <c r="K63" i="29"/>
  <c r="H63" i="29"/>
  <c r="L63" i="29" s="1"/>
  <c r="U62" i="29"/>
  <c r="K62" i="29" s="1"/>
  <c r="H62" i="29"/>
  <c r="L62" i="29" s="1"/>
  <c r="U61" i="29"/>
  <c r="K61" i="29" s="1"/>
  <c r="H61" i="29"/>
  <c r="L61" i="29" s="1"/>
  <c r="U60" i="29"/>
  <c r="K60" i="29" s="1"/>
  <c r="H60" i="29"/>
  <c r="L60" i="29" s="1"/>
  <c r="U59" i="29"/>
  <c r="K59" i="29" s="1"/>
  <c r="H59" i="29"/>
  <c r="L59" i="29" s="1"/>
  <c r="H58" i="29"/>
  <c r="L58" i="29" s="1"/>
  <c r="L52" i="29"/>
  <c r="G52" i="29"/>
  <c r="D52" i="29"/>
  <c r="B52" i="29"/>
  <c r="X40" i="29"/>
  <c r="W36" i="29"/>
  <c r="U36" i="29"/>
  <c r="T36" i="29"/>
  <c r="S36" i="29"/>
  <c r="R36" i="29"/>
  <c r="Q36" i="29"/>
  <c r="P36" i="29"/>
  <c r="J36" i="29"/>
  <c r="I36" i="29"/>
  <c r="H36" i="29"/>
  <c r="I41" i="29" s="1"/>
  <c r="G36" i="29"/>
  <c r="F36" i="29"/>
  <c r="E36" i="29"/>
  <c r="D36" i="29"/>
  <c r="C36" i="29"/>
  <c r="B36" i="29"/>
  <c r="V35" i="29"/>
  <c r="K35" i="29"/>
  <c r="O35" i="29" s="1"/>
  <c r="V34" i="29"/>
  <c r="N34" i="29" s="1"/>
  <c r="K34" i="29"/>
  <c r="O34" i="29" s="1"/>
  <c r="V33" i="29"/>
  <c r="N33" i="29" s="1"/>
  <c r="K33" i="29"/>
  <c r="O33" i="29" s="1"/>
  <c r="V32" i="29"/>
  <c r="N32" i="29"/>
  <c r="K32" i="29"/>
  <c r="O32" i="29" s="1"/>
  <c r="V31" i="29"/>
  <c r="N31" i="29" s="1"/>
  <c r="K31" i="29"/>
  <c r="O31" i="29" s="1"/>
  <c r="V30" i="29"/>
  <c r="N30" i="29"/>
  <c r="K30" i="29"/>
  <c r="O30" i="29" s="1"/>
  <c r="V29" i="29"/>
  <c r="N29" i="29" s="1"/>
  <c r="K29" i="29"/>
  <c r="O29" i="29" s="1"/>
  <c r="V28" i="29"/>
  <c r="K28" i="29"/>
  <c r="O28" i="29" s="1"/>
  <c r="V27" i="29"/>
  <c r="K27" i="29"/>
  <c r="O27" i="29" s="1"/>
  <c r="V26" i="29"/>
  <c r="N26" i="29" s="1"/>
  <c r="K26" i="29"/>
  <c r="O26" i="29" s="1"/>
  <c r="V25" i="29"/>
  <c r="N25" i="29" s="1"/>
  <c r="K25" i="29"/>
  <c r="O25" i="29" s="1"/>
  <c r="V24" i="29"/>
  <c r="N24" i="29" s="1"/>
  <c r="K24" i="29"/>
  <c r="O24" i="29" s="1"/>
  <c r="V23" i="29"/>
  <c r="N23" i="29" s="1"/>
  <c r="K23" i="29"/>
  <c r="O23" i="29" s="1"/>
  <c r="V22" i="29"/>
  <c r="N22" i="29"/>
  <c r="K22" i="29"/>
  <c r="O22" i="29" s="1"/>
  <c r="V21" i="29"/>
  <c r="N21" i="29" s="1"/>
  <c r="K21" i="29"/>
  <c r="O21" i="29" s="1"/>
  <c r="V20" i="29"/>
  <c r="K20" i="29"/>
  <c r="O20" i="29" s="1"/>
  <c r="V19" i="29"/>
  <c r="K19" i="29"/>
  <c r="O19" i="29" s="1"/>
  <c r="V18" i="29"/>
  <c r="N18" i="29"/>
  <c r="K18" i="29"/>
  <c r="O18" i="29" s="1"/>
  <c r="V17" i="29"/>
  <c r="N17" i="29" s="1"/>
  <c r="K17" i="29"/>
  <c r="O17" i="29" s="1"/>
  <c r="V16" i="29"/>
  <c r="N16" i="29" s="1"/>
  <c r="K16" i="29"/>
  <c r="O16" i="29" s="1"/>
  <c r="V15" i="29"/>
  <c r="N15" i="29" s="1"/>
  <c r="K15" i="29"/>
  <c r="O15" i="29" s="1"/>
  <c r="V14" i="29"/>
  <c r="N14" i="29" s="1"/>
  <c r="K14" i="29"/>
  <c r="O14" i="29" s="1"/>
  <c r="V13" i="29"/>
  <c r="N13" i="29" s="1"/>
  <c r="K13" i="29"/>
  <c r="O13" i="29" s="1"/>
  <c r="K12" i="29"/>
  <c r="O12" i="29" s="1"/>
  <c r="W86" i="28"/>
  <c r="W82" i="28"/>
  <c r="V82" i="28"/>
  <c r="T82" i="28"/>
  <c r="S82" i="28"/>
  <c r="R82" i="28"/>
  <c r="Q82" i="28"/>
  <c r="P82" i="28"/>
  <c r="O82" i="28"/>
  <c r="N82" i="28"/>
  <c r="M82" i="28"/>
  <c r="G82" i="28"/>
  <c r="F82" i="28"/>
  <c r="I87" i="28" s="1"/>
  <c r="E82" i="28"/>
  <c r="D82" i="28"/>
  <c r="C82" i="28"/>
  <c r="B82" i="28"/>
  <c r="U81" i="28"/>
  <c r="K81" i="28" s="1"/>
  <c r="H81" i="28"/>
  <c r="L81" i="28" s="1"/>
  <c r="U80" i="28"/>
  <c r="K80" i="28" s="1"/>
  <c r="H80" i="28"/>
  <c r="L80" i="28" s="1"/>
  <c r="U79" i="28"/>
  <c r="K79" i="28" s="1"/>
  <c r="H79" i="28"/>
  <c r="L79" i="28" s="1"/>
  <c r="U78" i="28"/>
  <c r="K78" i="28"/>
  <c r="H78" i="28"/>
  <c r="L78" i="28" s="1"/>
  <c r="U77" i="28"/>
  <c r="K77" i="28" s="1"/>
  <c r="H77" i="28"/>
  <c r="L77" i="28" s="1"/>
  <c r="U76" i="28"/>
  <c r="K76" i="28" s="1"/>
  <c r="H76" i="28"/>
  <c r="L76" i="28" s="1"/>
  <c r="U75" i="28"/>
  <c r="K75" i="28" s="1"/>
  <c r="H75" i="28"/>
  <c r="L75" i="28" s="1"/>
  <c r="U74" i="28"/>
  <c r="K74" i="28" s="1"/>
  <c r="H74" i="28"/>
  <c r="L74" i="28" s="1"/>
  <c r="U73" i="28"/>
  <c r="K73" i="28" s="1"/>
  <c r="H73" i="28"/>
  <c r="L73" i="28" s="1"/>
  <c r="U72" i="28"/>
  <c r="K72" i="28" s="1"/>
  <c r="H72" i="28"/>
  <c r="L72" i="28" s="1"/>
  <c r="U71" i="28"/>
  <c r="K71" i="28" s="1"/>
  <c r="H71" i="28"/>
  <c r="L71" i="28" s="1"/>
  <c r="U70" i="28"/>
  <c r="K70" i="28" s="1"/>
  <c r="H70" i="28"/>
  <c r="L70" i="28" s="1"/>
  <c r="U69" i="28"/>
  <c r="K69" i="28" s="1"/>
  <c r="H69" i="28"/>
  <c r="L69" i="28" s="1"/>
  <c r="U68" i="28"/>
  <c r="K68" i="28" s="1"/>
  <c r="H68" i="28"/>
  <c r="L68" i="28" s="1"/>
  <c r="U67" i="28"/>
  <c r="K67" i="28" s="1"/>
  <c r="H67" i="28"/>
  <c r="L67" i="28" s="1"/>
  <c r="U66" i="28"/>
  <c r="K66" i="28"/>
  <c r="H66" i="28"/>
  <c r="L66" i="28" s="1"/>
  <c r="U65" i="28"/>
  <c r="K65" i="28" s="1"/>
  <c r="H65" i="28"/>
  <c r="L65" i="28" s="1"/>
  <c r="U64" i="28"/>
  <c r="K64" i="28"/>
  <c r="H64" i="28"/>
  <c r="L64" i="28" s="1"/>
  <c r="U63" i="28"/>
  <c r="K63" i="28" s="1"/>
  <c r="H63" i="28"/>
  <c r="L63" i="28" s="1"/>
  <c r="U62" i="28"/>
  <c r="K62" i="28"/>
  <c r="H62" i="28"/>
  <c r="L62" i="28" s="1"/>
  <c r="U61" i="28"/>
  <c r="K61" i="28" s="1"/>
  <c r="H61" i="28"/>
  <c r="L61" i="28" s="1"/>
  <c r="U60" i="28"/>
  <c r="K60" i="28" s="1"/>
  <c r="H60" i="28"/>
  <c r="L60" i="28" s="1"/>
  <c r="U59" i="28"/>
  <c r="K59" i="28" s="1"/>
  <c r="H59" i="28"/>
  <c r="L59" i="28" s="1"/>
  <c r="U58" i="28"/>
  <c r="K58" i="28" s="1"/>
  <c r="H58" i="28"/>
  <c r="L58" i="28" s="1"/>
  <c r="L52" i="28"/>
  <c r="G52" i="28"/>
  <c r="D52" i="28"/>
  <c r="B52" i="28"/>
  <c r="X40" i="28"/>
  <c r="W36" i="28"/>
  <c r="V36" i="28"/>
  <c r="U36" i="28"/>
  <c r="T36" i="28"/>
  <c r="S36" i="28"/>
  <c r="R36" i="28"/>
  <c r="Q36" i="28"/>
  <c r="P36" i="28"/>
  <c r="J36" i="28"/>
  <c r="I36" i="28"/>
  <c r="H36" i="28"/>
  <c r="G36" i="28"/>
  <c r="F36" i="28"/>
  <c r="E36" i="28"/>
  <c r="D36" i="28"/>
  <c r="C36" i="28"/>
  <c r="B36" i="28"/>
  <c r="V35" i="28"/>
  <c r="N35" i="28" s="1"/>
  <c r="K35" i="28"/>
  <c r="O35" i="28" s="1"/>
  <c r="V34" i="28"/>
  <c r="N34" i="28"/>
  <c r="K34" i="28"/>
  <c r="O34" i="28" s="1"/>
  <c r="V33" i="28"/>
  <c r="N33" i="28" s="1"/>
  <c r="K33" i="28"/>
  <c r="O33" i="28" s="1"/>
  <c r="V32" i="28"/>
  <c r="N32" i="28"/>
  <c r="K32" i="28"/>
  <c r="O32" i="28" s="1"/>
  <c r="V31" i="28"/>
  <c r="N31" i="28" s="1"/>
  <c r="K31" i="28"/>
  <c r="O31" i="28" s="1"/>
  <c r="V30" i="28"/>
  <c r="N30" i="28"/>
  <c r="K30" i="28"/>
  <c r="O30" i="28" s="1"/>
  <c r="V29" i="28"/>
  <c r="N29" i="28" s="1"/>
  <c r="K29" i="28"/>
  <c r="O29" i="28" s="1"/>
  <c r="V28" i="28"/>
  <c r="N28" i="28"/>
  <c r="K28" i="28"/>
  <c r="O28" i="28" s="1"/>
  <c r="V27" i="28"/>
  <c r="N27" i="28" s="1"/>
  <c r="K27" i="28"/>
  <c r="O27" i="28" s="1"/>
  <c r="V26" i="28"/>
  <c r="N26" i="28"/>
  <c r="K26" i="28"/>
  <c r="O26" i="28" s="1"/>
  <c r="V25" i="28"/>
  <c r="N25" i="28" s="1"/>
  <c r="K25" i="28"/>
  <c r="O25" i="28" s="1"/>
  <c r="V24" i="28"/>
  <c r="N24" i="28"/>
  <c r="K24" i="28"/>
  <c r="O24" i="28" s="1"/>
  <c r="V23" i="28"/>
  <c r="N23" i="28" s="1"/>
  <c r="K23" i="28"/>
  <c r="O23" i="28" s="1"/>
  <c r="V22" i="28"/>
  <c r="N22" i="28"/>
  <c r="K22" i="28"/>
  <c r="O22" i="28" s="1"/>
  <c r="V21" i="28"/>
  <c r="N21" i="28" s="1"/>
  <c r="K21" i="28"/>
  <c r="O21" i="28" s="1"/>
  <c r="V20" i="28"/>
  <c r="N20" i="28"/>
  <c r="K20" i="28"/>
  <c r="O20" i="28" s="1"/>
  <c r="V19" i="28"/>
  <c r="N19" i="28" s="1"/>
  <c r="K19" i="28"/>
  <c r="O19" i="28" s="1"/>
  <c r="V18" i="28"/>
  <c r="N18" i="28"/>
  <c r="K18" i="28"/>
  <c r="O18" i="28" s="1"/>
  <c r="V17" i="28"/>
  <c r="N17" i="28" s="1"/>
  <c r="K17" i="28"/>
  <c r="O17" i="28" s="1"/>
  <c r="V16" i="28"/>
  <c r="N16" i="28"/>
  <c r="K16" i="28"/>
  <c r="O16" i="28" s="1"/>
  <c r="V15" i="28"/>
  <c r="N15" i="28" s="1"/>
  <c r="K15" i="28"/>
  <c r="O15" i="28" s="1"/>
  <c r="V14" i="28"/>
  <c r="N14" i="28"/>
  <c r="K14" i="28"/>
  <c r="O14" i="28" s="1"/>
  <c r="V13" i="28"/>
  <c r="N13" i="28" s="1"/>
  <c r="K13" i="28"/>
  <c r="O13" i="28" s="1"/>
  <c r="V12" i="28"/>
  <c r="N12" i="28"/>
  <c r="K12" i="28"/>
  <c r="O12" i="28" s="1"/>
  <c r="W82" i="27"/>
  <c r="W86" i="27" s="1"/>
  <c r="V82" i="27"/>
  <c r="T82" i="27"/>
  <c r="S82" i="27"/>
  <c r="R82" i="27"/>
  <c r="Q82" i="27"/>
  <c r="P82" i="27"/>
  <c r="O82" i="27"/>
  <c r="N82" i="27"/>
  <c r="M82" i="27"/>
  <c r="G82" i="27"/>
  <c r="F82" i="27"/>
  <c r="I87" i="27" s="1"/>
  <c r="E82" i="27"/>
  <c r="D82" i="27"/>
  <c r="C82" i="27"/>
  <c r="B82" i="27"/>
  <c r="U81" i="27"/>
  <c r="K81" i="27" s="1"/>
  <c r="H81" i="27"/>
  <c r="L81" i="27" s="1"/>
  <c r="U80" i="27"/>
  <c r="K80" i="27" s="1"/>
  <c r="H80" i="27"/>
  <c r="L80" i="27" s="1"/>
  <c r="U79" i="27"/>
  <c r="K79" i="27" s="1"/>
  <c r="H79" i="27"/>
  <c r="L79" i="27" s="1"/>
  <c r="U78" i="27"/>
  <c r="K78" i="27" s="1"/>
  <c r="H78" i="27"/>
  <c r="L78" i="27" s="1"/>
  <c r="U77" i="27"/>
  <c r="K77" i="27" s="1"/>
  <c r="H77" i="27"/>
  <c r="L77" i="27" s="1"/>
  <c r="U76" i="27"/>
  <c r="K76" i="27" s="1"/>
  <c r="H76" i="27"/>
  <c r="L76" i="27" s="1"/>
  <c r="U75" i="27"/>
  <c r="K75" i="27" s="1"/>
  <c r="H75" i="27"/>
  <c r="L75" i="27" s="1"/>
  <c r="U74" i="27"/>
  <c r="K74" i="27" s="1"/>
  <c r="H74" i="27"/>
  <c r="L74" i="27" s="1"/>
  <c r="U73" i="27"/>
  <c r="K73" i="27" s="1"/>
  <c r="H73" i="27"/>
  <c r="L73" i="27" s="1"/>
  <c r="U72" i="27"/>
  <c r="K72" i="27" s="1"/>
  <c r="H72" i="27"/>
  <c r="L72" i="27" s="1"/>
  <c r="U71" i="27"/>
  <c r="K71" i="27" s="1"/>
  <c r="H71" i="27"/>
  <c r="L71" i="27" s="1"/>
  <c r="U70" i="27"/>
  <c r="K70" i="27" s="1"/>
  <c r="H70" i="27"/>
  <c r="L70" i="27" s="1"/>
  <c r="U69" i="27"/>
  <c r="K69" i="27" s="1"/>
  <c r="H69" i="27"/>
  <c r="L69" i="27" s="1"/>
  <c r="U68" i="27"/>
  <c r="K68" i="27" s="1"/>
  <c r="H68" i="27"/>
  <c r="L68" i="27" s="1"/>
  <c r="U67" i="27"/>
  <c r="K67" i="27" s="1"/>
  <c r="H67" i="27"/>
  <c r="L67" i="27" s="1"/>
  <c r="U66" i="27"/>
  <c r="K66" i="27" s="1"/>
  <c r="H66" i="27"/>
  <c r="L66" i="27" s="1"/>
  <c r="U65" i="27"/>
  <c r="K65" i="27" s="1"/>
  <c r="H65" i="27"/>
  <c r="L65" i="27" s="1"/>
  <c r="U64" i="27"/>
  <c r="K64" i="27" s="1"/>
  <c r="H64" i="27"/>
  <c r="L64" i="27" s="1"/>
  <c r="U63" i="27"/>
  <c r="K63" i="27" s="1"/>
  <c r="H63" i="27"/>
  <c r="L63" i="27" s="1"/>
  <c r="U62" i="27"/>
  <c r="K62" i="27" s="1"/>
  <c r="H62" i="27"/>
  <c r="L62" i="27" s="1"/>
  <c r="U61" i="27"/>
  <c r="K61" i="27" s="1"/>
  <c r="H61" i="27"/>
  <c r="L61" i="27" s="1"/>
  <c r="U60" i="27"/>
  <c r="K60" i="27" s="1"/>
  <c r="H60" i="27"/>
  <c r="L60" i="27" s="1"/>
  <c r="U59" i="27"/>
  <c r="K59" i="27" s="1"/>
  <c r="H59" i="27"/>
  <c r="L59" i="27" s="1"/>
  <c r="U58" i="27"/>
  <c r="K58" i="27" s="1"/>
  <c r="H58" i="27"/>
  <c r="L58" i="27" s="1"/>
  <c r="L52" i="27"/>
  <c r="G52" i="27"/>
  <c r="D52" i="27"/>
  <c r="B52" i="27"/>
  <c r="X40" i="27"/>
  <c r="W36" i="27"/>
  <c r="V36" i="27"/>
  <c r="U36" i="27"/>
  <c r="T36" i="27"/>
  <c r="S36" i="27"/>
  <c r="R36" i="27"/>
  <c r="Q36" i="27"/>
  <c r="P36" i="27"/>
  <c r="J36" i="27"/>
  <c r="I36" i="27"/>
  <c r="H36" i="27"/>
  <c r="I41" i="27" s="1"/>
  <c r="G36" i="27"/>
  <c r="F36" i="27"/>
  <c r="E36" i="27"/>
  <c r="D36" i="27"/>
  <c r="C36" i="27"/>
  <c r="B36" i="27"/>
  <c r="V35" i="27"/>
  <c r="O35" i="27"/>
  <c r="N35" i="27"/>
  <c r="K35" i="27"/>
  <c r="V34" i="27"/>
  <c r="N34" i="27"/>
  <c r="K34" i="27"/>
  <c r="O34" i="27" s="1"/>
  <c r="V33" i="27"/>
  <c r="O33" i="27"/>
  <c r="N33" i="27"/>
  <c r="K33" i="27"/>
  <c r="V32" i="27"/>
  <c r="N32" i="27"/>
  <c r="K32" i="27"/>
  <c r="O32" i="27" s="1"/>
  <c r="V31" i="27"/>
  <c r="O31" i="27"/>
  <c r="N31" i="27"/>
  <c r="K31" i="27"/>
  <c r="V30" i="27"/>
  <c r="N30" i="27"/>
  <c r="K30" i="27"/>
  <c r="O30" i="27" s="1"/>
  <c r="V29" i="27"/>
  <c r="O29" i="27"/>
  <c r="N29" i="27"/>
  <c r="K29" i="27"/>
  <c r="V28" i="27"/>
  <c r="N28" i="27"/>
  <c r="K28" i="27"/>
  <c r="O28" i="27" s="1"/>
  <c r="V27" i="27"/>
  <c r="O27" i="27"/>
  <c r="N27" i="27"/>
  <c r="K27" i="27"/>
  <c r="V26" i="27"/>
  <c r="N26" i="27"/>
  <c r="K26" i="27"/>
  <c r="O26" i="27" s="1"/>
  <c r="V25" i="27"/>
  <c r="O25" i="27"/>
  <c r="N25" i="27"/>
  <c r="K25" i="27"/>
  <c r="V24" i="27"/>
  <c r="N24" i="27"/>
  <c r="K24" i="27"/>
  <c r="O24" i="27" s="1"/>
  <c r="V23" i="27"/>
  <c r="O23" i="27"/>
  <c r="N23" i="27"/>
  <c r="K23" i="27"/>
  <c r="V22" i="27"/>
  <c r="N22" i="27"/>
  <c r="K22" i="27"/>
  <c r="O22" i="27" s="1"/>
  <c r="V21" i="27"/>
  <c r="O21" i="27"/>
  <c r="N21" i="27"/>
  <c r="K21" i="27"/>
  <c r="V20" i="27"/>
  <c r="N20" i="27"/>
  <c r="K20" i="27"/>
  <c r="O20" i="27" s="1"/>
  <c r="V19" i="27"/>
  <c r="O19" i="27"/>
  <c r="N19" i="27"/>
  <c r="K19" i="27"/>
  <c r="V18" i="27"/>
  <c r="N18" i="27"/>
  <c r="K18" i="27"/>
  <c r="O18" i="27" s="1"/>
  <c r="V17" i="27"/>
  <c r="O17" i="27"/>
  <c r="N17" i="27"/>
  <c r="K17" i="27"/>
  <c r="V16" i="27"/>
  <c r="N16" i="27"/>
  <c r="K16" i="27"/>
  <c r="O16" i="27" s="1"/>
  <c r="V15" i="27"/>
  <c r="O15" i="27"/>
  <c r="N15" i="27"/>
  <c r="K15" i="27"/>
  <c r="V14" i="27"/>
  <c r="N14" i="27"/>
  <c r="K14" i="27"/>
  <c r="O14" i="27" s="1"/>
  <c r="V13" i="27"/>
  <c r="O13" i="27"/>
  <c r="N13" i="27"/>
  <c r="K13" i="27"/>
  <c r="V12" i="27"/>
  <c r="N12" i="27"/>
  <c r="N36" i="27" s="1"/>
  <c r="L47" i="27" s="1"/>
  <c r="K12" i="27"/>
  <c r="O12" i="27" s="1"/>
  <c r="U66" i="22"/>
  <c r="U58" i="26"/>
  <c r="K58" i="26" s="1"/>
  <c r="U60" i="25"/>
  <c r="U58" i="24"/>
  <c r="U59" i="26"/>
  <c r="U60" i="26"/>
  <c r="U61" i="26"/>
  <c r="U62" i="26"/>
  <c r="U63" i="26"/>
  <c r="U64" i="26"/>
  <c r="U65" i="26"/>
  <c r="U66" i="26"/>
  <c r="U67" i="26"/>
  <c r="K67" i="26" s="1"/>
  <c r="U68" i="26"/>
  <c r="U69" i="26"/>
  <c r="U70" i="26"/>
  <c r="U71" i="26"/>
  <c r="U72" i="26"/>
  <c r="U73" i="26"/>
  <c r="U74" i="26"/>
  <c r="K74" i="26" s="1"/>
  <c r="U75" i="26"/>
  <c r="K75" i="26" s="1"/>
  <c r="U76" i="26"/>
  <c r="U77" i="26"/>
  <c r="K77" i="26" s="1"/>
  <c r="U78" i="26"/>
  <c r="U79" i="26"/>
  <c r="U80" i="26"/>
  <c r="U81" i="26"/>
  <c r="U59" i="25"/>
  <c r="U61" i="25"/>
  <c r="U62" i="25"/>
  <c r="U63" i="25"/>
  <c r="U64" i="25"/>
  <c r="U65" i="25"/>
  <c r="U66" i="25"/>
  <c r="U67" i="25"/>
  <c r="U68" i="25"/>
  <c r="U69" i="25"/>
  <c r="U70" i="25"/>
  <c r="U71" i="25"/>
  <c r="U72" i="25"/>
  <c r="U73" i="25"/>
  <c r="U74" i="25"/>
  <c r="U75" i="25"/>
  <c r="U76" i="25"/>
  <c r="U77" i="25"/>
  <c r="U78" i="25"/>
  <c r="U79" i="25"/>
  <c r="U80" i="25"/>
  <c r="U81" i="25"/>
  <c r="U58" i="25"/>
  <c r="U59" i="24"/>
  <c r="U60" i="24"/>
  <c r="U61" i="24"/>
  <c r="U62" i="24"/>
  <c r="U63" i="24"/>
  <c r="U64" i="24"/>
  <c r="U65" i="24"/>
  <c r="U66" i="24"/>
  <c r="U67" i="24"/>
  <c r="U68" i="24"/>
  <c r="U69" i="24"/>
  <c r="U70" i="24"/>
  <c r="U71" i="24"/>
  <c r="U72" i="24"/>
  <c r="U73" i="24"/>
  <c r="U74" i="24"/>
  <c r="U75" i="24"/>
  <c r="U76" i="24"/>
  <c r="U77" i="24"/>
  <c r="U78" i="24"/>
  <c r="U79" i="24"/>
  <c r="U80" i="24"/>
  <c r="U81" i="24"/>
  <c r="U59" i="23"/>
  <c r="U60" i="23"/>
  <c r="U61" i="23"/>
  <c r="U62" i="23"/>
  <c r="U63" i="23"/>
  <c r="U64" i="23"/>
  <c r="U65" i="23"/>
  <c r="U66" i="23"/>
  <c r="U67" i="23"/>
  <c r="U68" i="23"/>
  <c r="U69" i="23"/>
  <c r="U70" i="23"/>
  <c r="U71" i="23"/>
  <c r="U72" i="23"/>
  <c r="U73" i="23"/>
  <c r="U74" i="23"/>
  <c r="U75" i="23"/>
  <c r="U76" i="23"/>
  <c r="U77" i="23"/>
  <c r="U78" i="23"/>
  <c r="U79" i="23"/>
  <c r="U80" i="23"/>
  <c r="U81" i="23"/>
  <c r="U58" i="23"/>
  <c r="U58" i="22"/>
  <c r="U59" i="22"/>
  <c r="U60" i="22"/>
  <c r="U61" i="22"/>
  <c r="U62" i="22"/>
  <c r="U63" i="22"/>
  <c r="U64" i="22"/>
  <c r="U65" i="22"/>
  <c r="U67" i="22"/>
  <c r="U68" i="22"/>
  <c r="U69" i="22"/>
  <c r="U70" i="22"/>
  <c r="U71" i="22"/>
  <c r="U72" i="22"/>
  <c r="U73" i="22"/>
  <c r="U74" i="22"/>
  <c r="U75" i="22"/>
  <c r="U76" i="22"/>
  <c r="U77" i="22"/>
  <c r="U78" i="22"/>
  <c r="U79" i="22"/>
  <c r="U80" i="22"/>
  <c r="U81" i="22"/>
  <c r="U58" i="21"/>
  <c r="V12" i="22"/>
  <c r="K81" i="26"/>
  <c r="K73" i="26"/>
  <c r="K66" i="26"/>
  <c r="K59" i="26"/>
  <c r="W86" i="26"/>
  <c r="W82" i="26"/>
  <c r="V82" i="26"/>
  <c r="T82" i="26"/>
  <c r="S82" i="26"/>
  <c r="R82" i="26"/>
  <c r="Q82" i="26"/>
  <c r="P82" i="26"/>
  <c r="O82" i="26"/>
  <c r="N82" i="26"/>
  <c r="M82" i="26"/>
  <c r="G82" i="26"/>
  <c r="F82" i="26"/>
  <c r="I87" i="26" s="1"/>
  <c r="E82" i="26"/>
  <c r="D82" i="26"/>
  <c r="C82" i="26"/>
  <c r="B82" i="26"/>
  <c r="H81" i="26"/>
  <c r="L81" i="26" s="1"/>
  <c r="K80" i="26"/>
  <c r="H80" i="26"/>
  <c r="L80" i="26" s="1"/>
  <c r="K79" i="26"/>
  <c r="H79" i="26"/>
  <c r="L79" i="26" s="1"/>
  <c r="K78" i="26"/>
  <c r="H78" i="26"/>
  <c r="L78" i="26" s="1"/>
  <c r="H77" i="26"/>
  <c r="L77" i="26" s="1"/>
  <c r="K76" i="26"/>
  <c r="H76" i="26"/>
  <c r="L76" i="26" s="1"/>
  <c r="H75" i="26"/>
  <c r="L75" i="26" s="1"/>
  <c r="H74" i="26"/>
  <c r="L74" i="26" s="1"/>
  <c r="H73" i="26"/>
  <c r="L73" i="26" s="1"/>
  <c r="K72" i="26"/>
  <c r="H72" i="26"/>
  <c r="L72" i="26" s="1"/>
  <c r="K71" i="26"/>
  <c r="H71" i="26"/>
  <c r="L71" i="26" s="1"/>
  <c r="K70" i="26"/>
  <c r="H70" i="26"/>
  <c r="L70" i="26" s="1"/>
  <c r="K69" i="26"/>
  <c r="H69" i="26"/>
  <c r="L69" i="26" s="1"/>
  <c r="K68" i="26"/>
  <c r="H68" i="26"/>
  <c r="L68" i="26" s="1"/>
  <c r="H67" i="26"/>
  <c r="L67" i="26" s="1"/>
  <c r="H66" i="26"/>
  <c r="L66" i="26" s="1"/>
  <c r="K65" i="26"/>
  <c r="H65" i="26"/>
  <c r="L65" i="26" s="1"/>
  <c r="K64" i="26"/>
  <c r="H64" i="26"/>
  <c r="L64" i="26" s="1"/>
  <c r="K63" i="26"/>
  <c r="H63" i="26"/>
  <c r="L63" i="26" s="1"/>
  <c r="K62" i="26"/>
  <c r="H62" i="26"/>
  <c r="L62" i="26" s="1"/>
  <c r="K61" i="26"/>
  <c r="H61" i="26"/>
  <c r="L61" i="26" s="1"/>
  <c r="K60" i="26"/>
  <c r="H60" i="26"/>
  <c r="L60" i="26" s="1"/>
  <c r="H59" i="26"/>
  <c r="L59" i="26" s="1"/>
  <c r="H58" i="26"/>
  <c r="L58" i="26" s="1"/>
  <c r="L52" i="26"/>
  <c r="G52" i="26"/>
  <c r="D52" i="26"/>
  <c r="B52" i="26"/>
  <c r="X40" i="26"/>
  <c r="W36" i="26"/>
  <c r="U36" i="26"/>
  <c r="T36" i="26"/>
  <c r="S36" i="26"/>
  <c r="R36" i="26"/>
  <c r="Q36" i="26"/>
  <c r="P36" i="26"/>
  <c r="J36" i="26"/>
  <c r="I36" i="26"/>
  <c r="H36" i="26"/>
  <c r="G36" i="26"/>
  <c r="F36" i="26"/>
  <c r="E36" i="26"/>
  <c r="D36" i="26"/>
  <c r="C36" i="26"/>
  <c r="B36" i="26"/>
  <c r="V35" i="26"/>
  <c r="N35" i="26"/>
  <c r="K35" i="26"/>
  <c r="O35" i="26" s="1"/>
  <c r="V34" i="26"/>
  <c r="N34" i="26" s="1"/>
  <c r="K34" i="26"/>
  <c r="O34" i="26" s="1"/>
  <c r="V33" i="26"/>
  <c r="N33" i="26"/>
  <c r="K33" i="26"/>
  <c r="O33" i="26" s="1"/>
  <c r="V32" i="26"/>
  <c r="N32" i="26" s="1"/>
  <c r="K32" i="26"/>
  <c r="O32" i="26" s="1"/>
  <c r="V31" i="26"/>
  <c r="N31" i="26"/>
  <c r="K31" i="26"/>
  <c r="O31" i="26" s="1"/>
  <c r="V30" i="26"/>
  <c r="N30" i="26" s="1"/>
  <c r="K30" i="26"/>
  <c r="O30" i="26" s="1"/>
  <c r="V29" i="26"/>
  <c r="N29" i="26"/>
  <c r="K29" i="26"/>
  <c r="O29" i="26" s="1"/>
  <c r="V28" i="26"/>
  <c r="N28" i="26" s="1"/>
  <c r="K28" i="26"/>
  <c r="O28" i="26" s="1"/>
  <c r="V27" i="26"/>
  <c r="N27" i="26"/>
  <c r="K27" i="26"/>
  <c r="O27" i="26" s="1"/>
  <c r="V26" i="26"/>
  <c r="N26" i="26" s="1"/>
  <c r="K26" i="26"/>
  <c r="O26" i="26" s="1"/>
  <c r="V25" i="26"/>
  <c r="N25" i="26"/>
  <c r="K25" i="26"/>
  <c r="O25" i="26" s="1"/>
  <c r="V24" i="26"/>
  <c r="N24" i="26" s="1"/>
  <c r="K24" i="26"/>
  <c r="O24" i="26" s="1"/>
  <c r="V23" i="26"/>
  <c r="N23" i="26"/>
  <c r="K23" i="26"/>
  <c r="O23" i="26" s="1"/>
  <c r="V22" i="26"/>
  <c r="N22" i="26" s="1"/>
  <c r="K22" i="26"/>
  <c r="O22" i="26" s="1"/>
  <c r="V21" i="26"/>
  <c r="N21" i="26"/>
  <c r="K21" i="26"/>
  <c r="O21" i="26" s="1"/>
  <c r="V20" i="26"/>
  <c r="N20" i="26" s="1"/>
  <c r="K20" i="26"/>
  <c r="O20" i="26" s="1"/>
  <c r="V19" i="26"/>
  <c r="N19" i="26"/>
  <c r="K19" i="26"/>
  <c r="O19" i="26" s="1"/>
  <c r="V18" i="26"/>
  <c r="N18" i="26" s="1"/>
  <c r="K18" i="26"/>
  <c r="O18" i="26" s="1"/>
  <c r="V17" i="26"/>
  <c r="N17" i="26"/>
  <c r="K17" i="26"/>
  <c r="O17" i="26" s="1"/>
  <c r="V16" i="26"/>
  <c r="N16" i="26" s="1"/>
  <c r="K16" i="26"/>
  <c r="O16" i="26" s="1"/>
  <c r="V15" i="26"/>
  <c r="N15" i="26"/>
  <c r="K15" i="26"/>
  <c r="O15" i="26" s="1"/>
  <c r="V14" i="26"/>
  <c r="N14" i="26" s="1"/>
  <c r="K14" i="26"/>
  <c r="O14" i="26" s="1"/>
  <c r="V13" i="26"/>
  <c r="N13" i="26"/>
  <c r="K13" i="26"/>
  <c r="O13" i="26" s="1"/>
  <c r="V12" i="26"/>
  <c r="V36" i="26" s="1"/>
  <c r="K12" i="26"/>
  <c r="O12" i="26" s="1"/>
  <c r="I41" i="30" l="1"/>
  <c r="O36" i="30"/>
  <c r="N36" i="30"/>
  <c r="L47" i="30" s="1"/>
  <c r="L82" i="30"/>
  <c r="K82" i="30"/>
  <c r="L93" i="30" s="1"/>
  <c r="U82" i="30"/>
  <c r="K82" i="29"/>
  <c r="L93" i="29" s="1"/>
  <c r="N28" i="29"/>
  <c r="N20" i="29"/>
  <c r="N35" i="29"/>
  <c r="N19" i="29"/>
  <c r="N27" i="29"/>
  <c r="U82" i="29"/>
  <c r="L82" i="29"/>
  <c r="O36" i="29"/>
  <c r="V36" i="29"/>
  <c r="I41" i="28"/>
  <c r="K82" i="28"/>
  <c r="L93" i="28" s="1"/>
  <c r="O36" i="28"/>
  <c r="N36" i="28"/>
  <c r="L47" i="28" s="1"/>
  <c r="L82" i="28"/>
  <c r="U82" i="28"/>
  <c r="O36" i="27"/>
  <c r="L82" i="27"/>
  <c r="K82" i="27"/>
  <c r="L93" i="27" s="1"/>
  <c r="U82" i="27"/>
  <c r="I41" i="26"/>
  <c r="K82" i="26"/>
  <c r="L93" i="26" s="1"/>
  <c r="L82" i="26"/>
  <c r="O36" i="26"/>
  <c r="N12" i="26"/>
  <c r="N36" i="26" s="1"/>
  <c r="L47" i="26" s="1"/>
  <c r="U82" i="26"/>
  <c r="K33" i="31"/>
  <c r="AD32" i="31"/>
  <c r="AB9" i="31"/>
  <c r="AB28" i="31"/>
  <c r="AB32" i="31"/>
  <c r="O25" i="31"/>
  <c r="Z10" i="31"/>
  <c r="F18" i="31"/>
  <c r="H27" i="31"/>
  <c r="Z21" i="31"/>
  <c r="AB14" i="31"/>
  <c r="S15" i="31"/>
  <c r="E9" i="31"/>
  <c r="T8" i="31"/>
  <c r="AB10" i="31"/>
  <c r="O16" i="31"/>
  <c r="Q25" i="31"/>
  <c r="AB16" i="31"/>
  <c r="AD18" i="31"/>
  <c r="P32" i="31"/>
  <c r="Q15" i="31"/>
  <c r="AB33" i="31"/>
  <c r="H8" i="31"/>
  <c r="AC16" i="31"/>
  <c r="N21" i="31"/>
  <c r="K23" i="31"/>
  <c r="AA35" i="31"/>
  <c r="K29" i="31"/>
  <c r="N32" i="31"/>
  <c r="AA6" i="31"/>
  <c r="AA25" i="31"/>
  <c r="Y23" i="31"/>
  <c r="N22" i="31"/>
  <c r="D29" i="31"/>
  <c r="E15" i="31"/>
  <c r="Z23" i="31"/>
  <c r="V10" i="31"/>
  <c r="E27" i="31"/>
  <c r="F9" i="31"/>
  <c r="AD30" i="31"/>
  <c r="N31" i="31"/>
  <c r="AA29" i="31"/>
  <c r="AC6" i="31"/>
  <c r="C17" i="31"/>
  <c r="P22" i="31"/>
  <c r="AD6" i="31"/>
  <c r="R15" i="31"/>
  <c r="Q19" i="31"/>
  <c r="P12" i="31"/>
  <c r="V30" i="31"/>
  <c r="H34" i="31"/>
  <c r="AB13" i="31"/>
  <c r="H28" i="31"/>
  <c r="V7" i="31"/>
  <c r="E35" i="31"/>
  <c r="G31" i="31"/>
  <c r="T24" i="31"/>
  <c r="AA7" i="31"/>
  <c r="F14" i="31"/>
  <c r="K19" i="31"/>
  <c r="C32" i="31"/>
  <c r="P14" i="31"/>
  <c r="AA17" i="31"/>
  <c r="I24" i="31"/>
  <c r="D28" i="31"/>
  <c r="Q21" i="31"/>
  <c r="R9" i="31"/>
  <c r="C15" i="31"/>
  <c r="Y31" i="31"/>
  <c r="G7" i="31"/>
  <c r="AD13" i="31"/>
  <c r="D31" i="31"/>
  <c r="K6" i="31"/>
  <c r="D10" i="31"/>
  <c r="AC27" i="31"/>
  <c r="AB7" i="31"/>
  <c r="Q10" i="31"/>
  <c r="F5" i="31"/>
  <c r="T15" i="31"/>
  <c r="C6" i="31"/>
  <c r="T9" i="31"/>
  <c r="O26" i="31"/>
  <c r="Q7" i="31"/>
  <c r="F10" i="31"/>
  <c r="N15" i="31"/>
  <c r="S9" i="31"/>
  <c r="Y32" i="31"/>
  <c r="S17" i="31"/>
  <c r="S6" i="31"/>
  <c r="F16" i="31"/>
  <c r="D26" i="31"/>
  <c r="H12" i="31"/>
  <c r="R17" i="31"/>
  <c r="T26" i="31"/>
  <c r="D30" i="31"/>
  <c r="R14" i="31"/>
  <c r="AA24" i="31"/>
  <c r="AA33" i="31"/>
  <c r="Z5" i="31"/>
  <c r="AC21" i="31"/>
  <c r="H15" i="31"/>
  <c r="Y19" i="31"/>
  <c r="G26" i="31"/>
  <c r="Z28" i="31"/>
  <c r="I22" i="31"/>
  <c r="AD20" i="31"/>
  <c r="T33" i="31"/>
  <c r="I28" i="31"/>
  <c r="T17" i="31"/>
  <c r="R27" i="31"/>
  <c r="P7" i="31"/>
  <c r="Y26" i="31"/>
  <c r="K25" i="31"/>
  <c r="K21" i="31"/>
  <c r="AB25" i="31"/>
  <c r="D18" i="31"/>
  <c r="N19" i="31"/>
  <c r="I33" i="31"/>
  <c r="AB15" i="31"/>
  <c r="N34" i="31"/>
  <c r="S8" i="31"/>
  <c r="V17" i="31"/>
  <c r="R25" i="31"/>
  <c r="O13" i="31"/>
  <c r="AA5" i="31"/>
  <c r="G30" i="31"/>
  <c r="AD25" i="31"/>
  <c r="P26" i="31"/>
  <c r="T31" i="31"/>
  <c r="C9" i="31"/>
  <c r="AD15" i="31"/>
  <c r="Q35" i="31"/>
  <c r="P9" i="31"/>
  <c r="Q31" i="31"/>
  <c r="H5" i="31"/>
  <c r="H24" i="31"/>
  <c r="AC32" i="31"/>
  <c r="O7" i="31"/>
  <c r="R6" i="31"/>
  <c r="K24" i="31"/>
  <c r="F25" i="31"/>
  <c r="S18" i="31"/>
  <c r="E12" i="31"/>
  <c r="Q29" i="31"/>
  <c r="D35" i="31"/>
  <c r="K11" i="31"/>
  <c r="C16" i="31"/>
  <c r="Q32" i="31"/>
  <c r="R7" i="31"/>
  <c r="N14" i="31"/>
  <c r="AD16" i="31"/>
  <c r="S11" i="31"/>
  <c r="F21" i="31"/>
  <c r="E34" i="31"/>
  <c r="O21" i="31"/>
  <c r="S14" i="31"/>
  <c r="K17" i="31"/>
  <c r="AA22" i="31"/>
  <c r="Q8" i="31"/>
  <c r="AC15" i="31"/>
  <c r="D21" i="31"/>
  <c r="AA12" i="31"/>
  <c r="E31" i="31"/>
  <c r="G5" i="31"/>
  <c r="I14" i="31"/>
  <c r="I31" i="31"/>
  <c r="S12" i="31"/>
  <c r="AC34" i="31"/>
  <c r="O34" i="31"/>
  <c r="P33" i="31"/>
  <c r="AD19" i="31"/>
  <c r="N35" i="31"/>
  <c r="C5" i="31"/>
  <c r="K13" i="31"/>
  <c r="K9" i="31"/>
  <c r="V35" i="31"/>
  <c r="K5" i="31"/>
  <c r="AC12" i="31"/>
  <c r="AC31" i="31"/>
  <c r="O6" i="31"/>
  <c r="AA28" i="31"/>
  <c r="P21" i="31"/>
  <c r="G21" i="31"/>
  <c r="I30" i="31"/>
  <c r="Y34" i="31"/>
  <c r="S35" i="31"/>
  <c r="E22" i="31"/>
  <c r="G15" i="31"/>
  <c r="F15" i="31"/>
  <c r="N17" i="31"/>
  <c r="T7" i="31"/>
  <c r="C25" i="31"/>
  <c r="R28" i="31"/>
  <c r="P29" i="31"/>
  <c r="D22" i="31"/>
  <c r="R11" i="31"/>
  <c r="R18" i="31"/>
  <c r="AA16" i="31"/>
  <c r="I11" i="31"/>
  <c r="N20" i="31"/>
  <c r="Z16" i="31"/>
  <c r="D24" i="31"/>
  <c r="K8" i="31"/>
  <c r="Y15" i="31"/>
  <c r="N18" i="31"/>
  <c r="O20" i="31"/>
  <c r="AA21" i="31"/>
  <c r="K27" i="31"/>
  <c r="K34" i="31"/>
  <c r="N24" i="31"/>
  <c r="Y27" i="31"/>
  <c r="AC35" i="31"/>
  <c r="T20" i="31"/>
  <c r="O31" i="31"/>
  <c r="AA11" i="31"/>
  <c r="C31" i="31"/>
  <c r="E14" i="31"/>
  <c r="P17" i="31"/>
  <c r="AB23" i="31"/>
  <c r="Q26" i="31"/>
  <c r="K22" i="31"/>
  <c r="AD7" i="31"/>
  <c r="N11" i="31"/>
  <c r="Z17" i="31"/>
  <c r="R21" i="31"/>
  <c r="D15" i="31"/>
  <c r="Y21" i="31"/>
  <c r="C22" i="31"/>
  <c r="S7" i="31"/>
  <c r="AD10" i="31"/>
  <c r="O17" i="31"/>
  <c r="D20" i="31"/>
  <c r="T14" i="31"/>
  <c r="AB6" i="31"/>
  <c r="C12" i="31"/>
  <c r="N23" i="31"/>
  <c r="Y6" i="31"/>
  <c r="V11" i="31"/>
  <c r="P15" i="31"/>
  <c r="R8" i="31"/>
  <c r="D8" i="31"/>
  <c r="T34" i="31"/>
  <c r="V31" i="31"/>
  <c r="R19" i="31"/>
  <c r="N6" i="31"/>
  <c r="N9" i="31"/>
  <c r="S34" i="31"/>
  <c r="H33" i="31"/>
  <c r="I26" i="31"/>
  <c r="T29" i="31"/>
  <c r="D13" i="31"/>
  <c r="V23" i="31"/>
  <c r="G32" i="31"/>
  <c r="S28" i="31"/>
  <c r="C18" i="31"/>
  <c r="Z33" i="31"/>
  <c r="AC7" i="31"/>
  <c r="Y14" i="31"/>
  <c r="Q18" i="31"/>
  <c r="AD11" i="31"/>
  <c r="AB22" i="31"/>
  <c r="C21" i="31"/>
  <c r="Q22" i="31"/>
  <c r="AD35" i="31"/>
  <c r="AC22" i="31"/>
  <c r="F31" i="31"/>
  <c r="AC13" i="31"/>
  <c r="N29" i="31"/>
  <c r="C34" i="31"/>
  <c r="Z19" i="31"/>
  <c r="G23" i="31"/>
  <c r="AD29" i="31"/>
  <c r="S32" i="31"/>
  <c r="E26" i="31"/>
  <c r="Q11" i="31"/>
  <c r="C23" i="31"/>
  <c r="N8" i="31"/>
  <c r="Y11" i="31"/>
  <c r="V19" i="31"/>
  <c r="K14" i="31"/>
  <c r="I25" i="31"/>
  <c r="Z6" i="31"/>
  <c r="S13" i="31"/>
  <c r="H16" i="31"/>
  <c r="V9" i="31"/>
  <c r="O5" i="31"/>
  <c r="C14" i="31"/>
  <c r="F24" i="31"/>
  <c r="I5" i="31"/>
  <c r="H13" i="31"/>
  <c r="AA15" i="31"/>
  <c r="AC8" i="31"/>
  <c r="O24" i="31"/>
  <c r="T35" i="31"/>
  <c r="AA32" i="31"/>
  <c r="F7" i="31"/>
  <c r="Y9" i="31"/>
  <c r="N7" i="31"/>
  <c r="D5" i="31"/>
  <c r="H31" i="31"/>
  <c r="P16" i="31"/>
  <c r="P5" i="31"/>
  <c r="AC28" i="31"/>
  <c r="AA9" i="31"/>
  <c r="T27" i="31"/>
  <c r="AA19" i="31"/>
  <c r="T21" i="31"/>
  <c r="Q13" i="31"/>
  <c r="D19" i="31"/>
  <c r="Q12" i="31"/>
  <c r="D9" i="31"/>
  <c r="H25" i="31"/>
  <c r="P8" i="31"/>
  <c r="G28" i="31"/>
  <c r="G18" i="31"/>
  <c r="G25" i="31"/>
  <c r="C24" i="31"/>
  <c r="I13" i="31"/>
  <c r="V22" i="31"/>
  <c r="Y29" i="31"/>
  <c r="G11" i="31"/>
  <c r="I8" i="31"/>
  <c r="Z8" i="31"/>
  <c r="V32" i="31"/>
  <c r="Q23" i="31"/>
  <c r="T30" i="31"/>
  <c r="F34" i="31"/>
  <c r="Q17" i="31"/>
  <c r="R22" i="31"/>
  <c r="Y25" i="31"/>
  <c r="Y5" i="31"/>
  <c r="D27" i="31"/>
  <c r="Z14" i="31"/>
  <c r="AC30" i="31"/>
  <c r="AA18" i="31"/>
  <c r="R34" i="31"/>
  <c r="H22" i="31"/>
  <c r="H21" i="31"/>
  <c r="R13" i="31"/>
  <c r="E19" i="31"/>
  <c r="K10" i="31"/>
  <c r="P34" i="31"/>
  <c r="AA20" i="31"/>
  <c r="G13" i="31"/>
  <c r="D32" i="31"/>
  <c r="P30" i="31"/>
  <c r="R23" i="31"/>
  <c r="P20" i="31"/>
  <c r="E5" i="31"/>
  <c r="Y13" i="31"/>
  <c r="F33" i="31"/>
  <c r="Q24" i="31"/>
  <c r="K30" i="31"/>
  <c r="AD26" i="31"/>
  <c r="AD22" i="31"/>
  <c r="AC24" i="31"/>
  <c r="AB30" i="31"/>
  <c r="Z11" i="31"/>
  <c r="E33" i="31"/>
  <c r="R5" i="31"/>
  <c r="P11" i="31"/>
  <c r="V21" i="31"/>
  <c r="S10" i="31"/>
  <c r="AB35" i="31"/>
  <c r="F13" i="31"/>
  <c r="C27" i="31"/>
  <c r="V24" i="31"/>
  <c r="T16" i="31"/>
  <c r="V20" i="31"/>
  <c r="N5" i="31"/>
  <c r="AD33" i="31"/>
  <c r="AC23" i="31"/>
  <c r="I16" i="31"/>
  <c r="AD8" i="31"/>
  <c r="E16" i="31"/>
  <c r="Y24" i="31"/>
  <c r="H18" i="31"/>
  <c r="G10" i="31"/>
  <c r="Z31" i="31"/>
  <c r="AC17" i="31"/>
  <c r="P35" i="31"/>
  <c r="T11" i="31"/>
  <c r="Q30" i="31"/>
  <c r="E28" i="31"/>
  <c r="O8" i="31"/>
  <c r="Q9" i="31"/>
  <c r="F32" i="31"/>
  <c r="AB8" i="31"/>
  <c r="AA26" i="31"/>
  <c r="F35" i="31"/>
  <c r="G12" i="31"/>
  <c r="V15" i="31"/>
  <c r="K35" i="31"/>
  <c r="Q34" i="31"/>
  <c r="Q16" i="31"/>
  <c r="E7" i="31"/>
  <c r="Z24" i="31"/>
  <c r="N27" i="31"/>
  <c r="Y35" i="31"/>
  <c r="S33" i="31"/>
  <c r="I21" i="31"/>
  <c r="Y33" i="31"/>
  <c r="S19" i="31"/>
  <c r="V6" i="31"/>
  <c r="Y18" i="31"/>
  <c r="V27" i="31"/>
  <c r="Z34" i="31"/>
  <c r="G6" i="31"/>
  <c r="O19" i="31"/>
  <c r="E13" i="31"/>
  <c r="S24" i="31"/>
  <c r="AD9" i="31"/>
  <c r="O10" i="31"/>
  <c r="D7" i="31"/>
  <c r="R12" i="31"/>
  <c r="D6" i="31"/>
  <c r="AC19" i="31"/>
  <c r="AB29" i="31"/>
  <c r="V18" i="31"/>
  <c r="T18" i="31"/>
  <c r="O18" i="31"/>
  <c r="V34" i="31"/>
  <c r="C8" i="31"/>
  <c r="H30" i="31"/>
  <c r="O12" i="31"/>
  <c r="H20" i="31"/>
  <c r="N16" i="31"/>
  <c r="S30" i="31"/>
  <c r="AB31" i="31"/>
  <c r="O29" i="31"/>
  <c r="E8" i="31"/>
  <c r="S21" i="31"/>
  <c r="C33" i="31"/>
  <c r="P6" i="31"/>
  <c r="S22" i="31"/>
  <c r="Q27" i="31"/>
  <c r="O23" i="31"/>
  <c r="I15" i="31"/>
  <c r="E6" i="31"/>
  <c r="AB26" i="31"/>
  <c r="K31" i="31"/>
  <c r="E30" i="31"/>
  <c r="AB27" i="31"/>
  <c r="G34" i="31"/>
  <c r="AA27" i="31"/>
  <c r="Z22" i="31"/>
  <c r="F19" i="31"/>
  <c r="Z27" i="31"/>
  <c r="E17" i="31"/>
  <c r="G14" i="31"/>
  <c r="G17" i="31"/>
  <c r="P19" i="31"/>
  <c r="Z30" i="31"/>
  <c r="F23" i="31"/>
  <c r="F29" i="31"/>
  <c r="T23" i="31"/>
  <c r="O11" i="31"/>
  <c r="H17" i="31"/>
  <c r="N25" i="31"/>
  <c r="F22" i="31"/>
  <c r="C11" i="31"/>
  <c r="O14" i="31"/>
  <c r="H14" i="31"/>
  <c r="T22" i="31"/>
  <c r="F11" i="31"/>
  <c r="R20" i="31"/>
  <c r="V8" i="31"/>
  <c r="E29" i="31"/>
  <c r="AD27" i="31"/>
  <c r="S20" i="31"/>
  <c r="AA14" i="31"/>
  <c r="N33" i="31"/>
  <c r="G22" i="31"/>
  <c r="AB21" i="31"/>
  <c r="Q6" i="31"/>
  <c r="S25" i="31"/>
  <c r="AC18" i="31"/>
  <c r="O33" i="31"/>
  <c r="K28" i="31"/>
  <c r="Y7" i="31"/>
  <c r="C29" i="31"/>
  <c r="E24" i="31"/>
  <c r="AB34" i="31"/>
  <c r="I27" i="31"/>
  <c r="AA10" i="31"/>
  <c r="K32" i="31"/>
  <c r="E25" i="31"/>
  <c r="AB19" i="31"/>
  <c r="K15" i="31"/>
  <c r="Y8" i="31"/>
  <c r="E20" i="31"/>
  <c r="Z15" i="31"/>
  <c r="C7" i="31"/>
  <c r="V28" i="31"/>
  <c r="H32" i="31"/>
  <c r="S23" i="31"/>
  <c r="I9" i="31"/>
  <c r="AA31" i="31"/>
  <c r="AB11" i="31"/>
  <c r="C30" i="31"/>
  <c r="S26" i="31"/>
  <c r="I17" i="31"/>
  <c r="R24" i="31"/>
  <c r="H9" i="31"/>
  <c r="H7" i="31"/>
  <c r="T32" i="31"/>
  <c r="T19" i="31"/>
  <c r="AC9" i="31"/>
  <c r="AC20" i="31"/>
  <c r="H10" i="31"/>
  <c r="O35" i="31"/>
  <c r="P18" i="31"/>
  <c r="V26" i="31"/>
  <c r="T10" i="31"/>
  <c r="Z35" i="31"/>
  <c r="V12" i="31"/>
  <c r="E18" i="31"/>
  <c r="Y10" i="31"/>
  <c r="I10" i="31"/>
  <c r="T28" i="31"/>
  <c r="D33" i="31"/>
  <c r="G16" i="31"/>
  <c r="AC14" i="31"/>
  <c r="O9" i="31"/>
  <c r="Y20" i="31"/>
  <c r="S31" i="31"/>
  <c r="AC29" i="31"/>
  <c r="C13" i="31"/>
  <c r="R31" i="31"/>
  <c r="P28" i="31"/>
  <c r="Z20" i="31"/>
  <c r="Z26" i="31"/>
  <c r="K20" i="31"/>
  <c r="F12" i="31"/>
  <c r="D23" i="31"/>
  <c r="K7" i="31"/>
  <c r="P13" i="31"/>
  <c r="Z9" i="31"/>
  <c r="AB5" i="31"/>
  <c r="V29" i="31"/>
  <c r="N26" i="31"/>
  <c r="O15" i="31"/>
  <c r="AB17" i="31"/>
  <c r="P24" i="31"/>
  <c r="F26" i="31"/>
  <c r="I7" i="31"/>
  <c r="G33" i="31"/>
  <c r="AB20" i="31"/>
  <c r="E32" i="31"/>
  <c r="H19" i="31"/>
  <c r="S16" i="31"/>
  <c r="O30" i="31"/>
  <c r="AC26" i="31"/>
  <c r="I34" i="31"/>
  <c r="O22" i="31"/>
  <c r="AA23" i="31"/>
  <c r="Y17" i="31"/>
  <c r="R16" i="31"/>
  <c r="I23" i="31"/>
  <c r="V13" i="31"/>
  <c r="O27" i="31"/>
  <c r="C28" i="31"/>
  <c r="R29" i="31"/>
  <c r="Y16" i="31"/>
  <c r="G29" i="31"/>
  <c r="E11" i="31"/>
  <c r="Z18" i="31"/>
  <c r="N12" i="31"/>
  <c r="AD14" i="31"/>
  <c r="O28" i="31"/>
  <c r="AB12" i="31"/>
  <c r="R32" i="31"/>
  <c r="V14" i="31"/>
  <c r="P10" i="31"/>
  <c r="AC25" i="31"/>
  <c r="I20" i="31"/>
  <c r="H23" i="31"/>
  <c r="C20" i="31"/>
  <c r="Y28" i="31"/>
  <c r="D11" i="31"/>
  <c r="AD24" i="31"/>
  <c r="K26" i="31"/>
  <c r="G35" i="31"/>
  <c r="T6" i="31"/>
  <c r="D34" i="31"/>
  <c r="E23" i="31"/>
  <c r="AD5" i="31"/>
  <c r="R35" i="31"/>
  <c r="O32" i="31"/>
  <c r="AD34" i="31"/>
  <c r="AD23" i="31"/>
  <c r="Q33" i="31"/>
  <c r="V16" i="31"/>
  <c r="F17" i="31"/>
  <c r="G24" i="31"/>
  <c r="V5" i="31"/>
  <c r="I19" i="31"/>
  <c r="K18" i="31"/>
  <c r="Y30" i="31"/>
  <c r="R30" i="31"/>
  <c r="I29" i="31"/>
  <c r="Z12" i="31"/>
  <c r="AD17" i="31"/>
  <c r="AD31" i="31"/>
  <c r="G9" i="31"/>
  <c r="C35" i="31"/>
  <c r="I18" i="31"/>
  <c r="H29" i="31"/>
  <c r="F8" i="31"/>
  <c r="H26" i="31"/>
  <c r="AA8" i="31"/>
  <c r="F20" i="31"/>
  <c r="N28" i="31"/>
  <c r="AA30" i="31"/>
  <c r="R10" i="31"/>
  <c r="F30" i="31"/>
  <c r="T13" i="31"/>
  <c r="S27" i="31"/>
  <c r="H11" i="31"/>
  <c r="Q28" i="31"/>
  <c r="K16" i="31"/>
  <c r="F27" i="31"/>
  <c r="AC33" i="31"/>
  <c r="AC5" i="31"/>
  <c r="T12" i="31"/>
  <c r="Q20" i="31"/>
  <c r="P27" i="31"/>
  <c r="S5" i="31"/>
  <c r="H35" i="31"/>
  <c r="AA34" i="31"/>
  <c r="AD12" i="31"/>
  <c r="I12" i="31"/>
  <c r="I6" i="31"/>
  <c r="Z7" i="31"/>
  <c r="P25" i="31"/>
  <c r="R33" i="31"/>
  <c r="I35" i="31"/>
  <c r="P31" i="31"/>
  <c r="AB24" i="31"/>
  <c r="V33" i="31"/>
  <c r="I32" i="31"/>
  <c r="G8" i="31"/>
  <c r="P23" i="31"/>
  <c r="D25" i="31"/>
  <c r="E10" i="31"/>
  <c r="Y22" i="31"/>
  <c r="R26" i="31"/>
  <c r="AB18" i="31"/>
  <c r="Z13" i="31"/>
  <c r="AD21" i="31"/>
  <c r="H6" i="31"/>
  <c r="N10" i="31"/>
  <c r="C19" i="31"/>
  <c r="D14" i="31"/>
  <c r="G20" i="31"/>
  <c r="Y12" i="31"/>
  <c r="K12" i="31"/>
  <c r="G19" i="31"/>
  <c r="C26" i="31"/>
  <c r="N30" i="31"/>
  <c r="AD28" i="31"/>
  <c r="G27" i="31"/>
  <c r="T5" i="31"/>
  <c r="T25" i="31"/>
  <c r="D16" i="31"/>
  <c r="Q14" i="31"/>
  <c r="D12" i="31"/>
  <c r="F6" i="31"/>
  <c r="Z29" i="31"/>
  <c r="C10" i="31"/>
  <c r="Z25" i="31"/>
  <c r="F28" i="31"/>
  <c r="E21" i="31"/>
  <c r="Q5" i="31"/>
  <c r="Z32" i="31"/>
  <c r="D17" i="31"/>
  <c r="AC10" i="31"/>
  <c r="N13" i="31"/>
  <c r="AA13" i="31"/>
  <c r="AC11" i="31"/>
  <c r="V25" i="31"/>
  <c r="S29" i="31"/>
  <c r="U13" i="31" l="1"/>
  <c r="Q36" i="31"/>
  <c r="J10" i="31"/>
  <c r="T36" i="31"/>
  <c r="U30" i="31"/>
  <c r="J26" i="31"/>
  <c r="J19" i="31"/>
  <c r="U10" i="31"/>
  <c r="S36" i="31"/>
  <c r="U28" i="31"/>
  <c r="J35" i="31"/>
  <c r="V36" i="31"/>
  <c r="J20" i="31"/>
  <c r="U12" i="31"/>
  <c r="J28" i="31"/>
  <c r="U26" i="31"/>
  <c r="J13" i="31"/>
  <c r="J30" i="31"/>
  <c r="J7" i="31"/>
  <c r="J29" i="31"/>
  <c r="U33" i="31"/>
  <c r="J11" i="31"/>
  <c r="U25" i="31"/>
  <c r="J33" i="31"/>
  <c r="U16" i="31"/>
  <c r="J8" i="31"/>
  <c r="U27" i="31"/>
  <c r="N36" i="31"/>
  <c r="U5" i="31"/>
  <c r="J27" i="31"/>
  <c r="R36" i="31"/>
  <c r="E36" i="31"/>
  <c r="J24" i="31"/>
  <c r="P36" i="31"/>
  <c r="D36" i="31"/>
  <c r="U7" i="31"/>
  <c r="I36" i="31"/>
  <c r="J14" i="31"/>
  <c r="O36" i="31"/>
  <c r="U8" i="31"/>
  <c r="J23" i="31"/>
  <c r="J34" i="31"/>
  <c r="U29" i="31"/>
  <c r="J21" i="31"/>
  <c r="J18" i="31"/>
  <c r="U9" i="31"/>
  <c r="U6" i="31"/>
  <c r="U23" i="31"/>
  <c r="J12" i="31"/>
  <c r="J22" i="31"/>
  <c r="U11" i="31"/>
  <c r="J31" i="31"/>
  <c r="U24" i="31"/>
  <c r="U18" i="31"/>
  <c r="U20" i="31"/>
  <c r="J25" i="31"/>
  <c r="U17" i="31"/>
  <c r="K36" i="31"/>
  <c r="C36" i="31"/>
  <c r="J5" i="31"/>
  <c r="U35" i="31"/>
  <c r="G36" i="31"/>
  <c r="U14" i="31"/>
  <c r="J16" i="31"/>
  <c r="H36" i="31"/>
  <c r="J9" i="31"/>
  <c r="U34" i="31"/>
  <c r="U19" i="31"/>
  <c r="U15" i="31"/>
  <c r="J6" i="31"/>
  <c r="F36" i="31"/>
  <c r="J15" i="31"/>
  <c r="J32" i="31"/>
  <c r="J17" i="31"/>
  <c r="U31" i="31"/>
  <c r="U22" i="31"/>
  <c r="U32" i="31"/>
  <c r="U21" i="31"/>
  <c r="N36" i="29"/>
  <c r="L47" i="29" s="1"/>
  <c r="B52" i="25"/>
  <c r="W82" i="25"/>
  <c r="W86" i="25" s="1"/>
  <c r="V82" i="25"/>
  <c r="T82" i="25"/>
  <c r="S82" i="25"/>
  <c r="R82" i="25"/>
  <c r="Q82" i="25"/>
  <c r="P82" i="25"/>
  <c r="O82" i="25"/>
  <c r="N82" i="25"/>
  <c r="M82" i="25"/>
  <c r="G82" i="25"/>
  <c r="F82" i="25"/>
  <c r="I87" i="25" s="1"/>
  <c r="E82" i="25"/>
  <c r="D82" i="25"/>
  <c r="C82" i="25"/>
  <c r="B82" i="25"/>
  <c r="K81" i="25"/>
  <c r="H81" i="25"/>
  <c r="L81" i="25" s="1"/>
  <c r="K80" i="25"/>
  <c r="H80" i="25"/>
  <c r="L80" i="25" s="1"/>
  <c r="K79" i="25"/>
  <c r="H79" i="25"/>
  <c r="L79" i="25" s="1"/>
  <c r="K78" i="25"/>
  <c r="H78" i="25"/>
  <c r="L78" i="25" s="1"/>
  <c r="K77" i="25"/>
  <c r="H77" i="25"/>
  <c r="L77" i="25" s="1"/>
  <c r="K76" i="25"/>
  <c r="H76" i="25"/>
  <c r="L76" i="25" s="1"/>
  <c r="K75" i="25"/>
  <c r="H75" i="25"/>
  <c r="L75" i="25" s="1"/>
  <c r="K74" i="25"/>
  <c r="H74" i="25"/>
  <c r="L74" i="25" s="1"/>
  <c r="K73" i="25"/>
  <c r="H73" i="25"/>
  <c r="L73" i="25" s="1"/>
  <c r="K72" i="25"/>
  <c r="H72" i="25"/>
  <c r="L72" i="25" s="1"/>
  <c r="K71" i="25"/>
  <c r="H71" i="25"/>
  <c r="L71" i="25" s="1"/>
  <c r="K70" i="25"/>
  <c r="H70" i="25"/>
  <c r="L70" i="25" s="1"/>
  <c r="K69" i="25"/>
  <c r="H69" i="25"/>
  <c r="L69" i="25" s="1"/>
  <c r="K68" i="25"/>
  <c r="H68" i="25"/>
  <c r="L68" i="25" s="1"/>
  <c r="K67" i="25"/>
  <c r="H67" i="25"/>
  <c r="L67" i="25" s="1"/>
  <c r="K66" i="25"/>
  <c r="H66" i="25"/>
  <c r="L66" i="25" s="1"/>
  <c r="K65" i="25"/>
  <c r="H65" i="25"/>
  <c r="L65" i="25" s="1"/>
  <c r="K64" i="25"/>
  <c r="H64" i="25"/>
  <c r="L64" i="25" s="1"/>
  <c r="K63" i="25"/>
  <c r="H63" i="25"/>
  <c r="L63" i="25" s="1"/>
  <c r="K62" i="25"/>
  <c r="H62" i="25"/>
  <c r="L62" i="25" s="1"/>
  <c r="K61" i="25"/>
  <c r="H61" i="25"/>
  <c r="L61" i="25" s="1"/>
  <c r="K60" i="25"/>
  <c r="H60" i="25"/>
  <c r="L60" i="25" s="1"/>
  <c r="K59" i="25"/>
  <c r="H59" i="25"/>
  <c r="L59" i="25" s="1"/>
  <c r="K58" i="25"/>
  <c r="H58" i="25"/>
  <c r="L58" i="25" s="1"/>
  <c r="L52" i="25"/>
  <c r="G52" i="25"/>
  <c r="D52" i="25"/>
  <c r="X40" i="25"/>
  <c r="W36" i="25"/>
  <c r="V36" i="25"/>
  <c r="U36" i="25"/>
  <c r="T36" i="25"/>
  <c r="S36" i="25"/>
  <c r="R36" i="25"/>
  <c r="Q36" i="25"/>
  <c r="P36" i="25"/>
  <c r="J36" i="25"/>
  <c r="I36" i="25"/>
  <c r="H36" i="25"/>
  <c r="G36" i="25"/>
  <c r="F36" i="25"/>
  <c r="E36" i="25"/>
  <c r="D36" i="25"/>
  <c r="C36" i="25"/>
  <c r="B36" i="25"/>
  <c r="V35" i="25"/>
  <c r="N35" i="25" s="1"/>
  <c r="O35" i="25"/>
  <c r="K35" i="25"/>
  <c r="V34" i="25"/>
  <c r="N34" i="25"/>
  <c r="K34" i="25"/>
  <c r="O34" i="25" s="1"/>
  <c r="V33" i="25"/>
  <c r="N33" i="25" s="1"/>
  <c r="O33" i="25"/>
  <c r="K33" i="25"/>
  <c r="V32" i="25"/>
  <c r="N32" i="25"/>
  <c r="K32" i="25"/>
  <c r="O32" i="25" s="1"/>
  <c r="V31" i="25"/>
  <c r="N31" i="25" s="1"/>
  <c r="O31" i="25"/>
  <c r="K31" i="25"/>
  <c r="V30" i="25"/>
  <c r="N30" i="25"/>
  <c r="K30" i="25"/>
  <c r="O30" i="25" s="1"/>
  <c r="V29" i="25"/>
  <c r="N29" i="25" s="1"/>
  <c r="O29" i="25"/>
  <c r="K29" i="25"/>
  <c r="V28" i="25"/>
  <c r="N28" i="25"/>
  <c r="K28" i="25"/>
  <c r="O28" i="25" s="1"/>
  <c r="V27" i="25"/>
  <c r="N27" i="25" s="1"/>
  <c r="O27" i="25"/>
  <c r="K27" i="25"/>
  <c r="V26" i="25"/>
  <c r="N26" i="25"/>
  <c r="K26" i="25"/>
  <c r="O26" i="25" s="1"/>
  <c r="V25" i="25"/>
  <c r="N25" i="25" s="1"/>
  <c r="O25" i="25"/>
  <c r="K25" i="25"/>
  <c r="V24" i="25"/>
  <c r="N24" i="25"/>
  <c r="K24" i="25"/>
  <c r="O24" i="25" s="1"/>
  <c r="V23" i="25"/>
  <c r="N23" i="25" s="1"/>
  <c r="O23" i="25"/>
  <c r="K23" i="25"/>
  <c r="V22" i="25"/>
  <c r="N22" i="25"/>
  <c r="K22" i="25"/>
  <c r="O22" i="25" s="1"/>
  <c r="V21" i="25"/>
  <c r="N21" i="25" s="1"/>
  <c r="O21" i="25"/>
  <c r="K21" i="25"/>
  <c r="V20" i="25"/>
  <c r="N20" i="25"/>
  <c r="K20" i="25"/>
  <c r="O20" i="25" s="1"/>
  <c r="V19" i="25"/>
  <c r="N19" i="25" s="1"/>
  <c r="O19" i="25"/>
  <c r="K19" i="25"/>
  <c r="V18" i="25"/>
  <c r="N18" i="25"/>
  <c r="K18" i="25"/>
  <c r="O18" i="25" s="1"/>
  <c r="V17" i="25"/>
  <c r="N17" i="25" s="1"/>
  <c r="O17" i="25"/>
  <c r="K17" i="25"/>
  <c r="V16" i="25"/>
  <c r="N16" i="25"/>
  <c r="K16" i="25"/>
  <c r="O16" i="25" s="1"/>
  <c r="V15" i="25"/>
  <c r="N15" i="25" s="1"/>
  <c r="O15" i="25"/>
  <c r="K15" i="25"/>
  <c r="V14" i="25"/>
  <c r="N14" i="25"/>
  <c r="K14" i="25"/>
  <c r="O14" i="25" s="1"/>
  <c r="V13" i="25"/>
  <c r="N13" i="25" s="1"/>
  <c r="O13" i="25"/>
  <c r="K13" i="25"/>
  <c r="V12" i="25"/>
  <c r="N12" i="25"/>
  <c r="K12" i="25"/>
  <c r="O12" i="25" s="1"/>
  <c r="L59" i="24"/>
  <c r="L60" i="24"/>
  <c r="L61" i="24"/>
  <c r="L62" i="24"/>
  <c r="L63" i="24"/>
  <c r="L64" i="24"/>
  <c r="L65" i="24"/>
  <c r="L66" i="24"/>
  <c r="L67" i="24"/>
  <c r="L68" i="24"/>
  <c r="L69" i="24"/>
  <c r="L70" i="24"/>
  <c r="L71" i="24"/>
  <c r="L72" i="24"/>
  <c r="L73" i="24"/>
  <c r="L74" i="24"/>
  <c r="L75" i="24"/>
  <c r="L76" i="24"/>
  <c r="W86" i="24"/>
  <c r="W82" i="24"/>
  <c r="V82" i="24"/>
  <c r="T82" i="24"/>
  <c r="S82" i="24"/>
  <c r="R82" i="24"/>
  <c r="Q82" i="24"/>
  <c r="P82" i="24"/>
  <c r="O82" i="24"/>
  <c r="N82" i="24"/>
  <c r="M82" i="24"/>
  <c r="G82" i="24"/>
  <c r="F82" i="24"/>
  <c r="I87" i="24" s="1"/>
  <c r="E82" i="24"/>
  <c r="D82" i="24"/>
  <c r="C82" i="24"/>
  <c r="B82" i="24"/>
  <c r="K81" i="24"/>
  <c r="H81" i="24"/>
  <c r="L81" i="24" s="1"/>
  <c r="K80" i="24"/>
  <c r="H80" i="24"/>
  <c r="L80" i="24" s="1"/>
  <c r="K79" i="24"/>
  <c r="H79" i="24"/>
  <c r="L79" i="24" s="1"/>
  <c r="K78" i="24"/>
  <c r="H78" i="24"/>
  <c r="L78" i="24" s="1"/>
  <c r="K77" i="24"/>
  <c r="H77" i="24"/>
  <c r="L77" i="24" s="1"/>
  <c r="K76" i="24"/>
  <c r="H76" i="24"/>
  <c r="K75" i="24"/>
  <c r="H75" i="24"/>
  <c r="K74" i="24"/>
  <c r="H74" i="24"/>
  <c r="K73" i="24"/>
  <c r="H73" i="24"/>
  <c r="K72" i="24"/>
  <c r="H72" i="24"/>
  <c r="K71" i="24"/>
  <c r="H71" i="24"/>
  <c r="K70" i="24"/>
  <c r="H70" i="24"/>
  <c r="K69" i="24"/>
  <c r="H69" i="24"/>
  <c r="K68" i="24"/>
  <c r="H68" i="24"/>
  <c r="K67" i="24"/>
  <c r="H67" i="24"/>
  <c r="K66" i="24"/>
  <c r="H66" i="24"/>
  <c r="K65" i="24"/>
  <c r="H65" i="24"/>
  <c r="K64" i="24"/>
  <c r="H64" i="24"/>
  <c r="K63" i="24"/>
  <c r="H63" i="24"/>
  <c r="K62" i="24"/>
  <c r="H62" i="24"/>
  <c r="K61" i="24"/>
  <c r="H61" i="24"/>
  <c r="K60" i="24"/>
  <c r="H60" i="24"/>
  <c r="K59" i="24"/>
  <c r="H59" i="24"/>
  <c r="K58" i="24"/>
  <c r="H58" i="24"/>
  <c r="L58" i="24" s="1"/>
  <c r="L52" i="24"/>
  <c r="G52" i="24"/>
  <c r="D52" i="24"/>
  <c r="B52" i="24"/>
  <c r="X40" i="24"/>
  <c r="W36" i="24"/>
  <c r="U36" i="24"/>
  <c r="T36" i="24"/>
  <c r="S36" i="24"/>
  <c r="R36" i="24"/>
  <c r="Q36" i="24"/>
  <c r="P36" i="24"/>
  <c r="J36" i="24"/>
  <c r="I36" i="24"/>
  <c r="H36" i="24"/>
  <c r="G36" i="24"/>
  <c r="F36" i="24"/>
  <c r="E36" i="24"/>
  <c r="D36" i="24"/>
  <c r="C36" i="24"/>
  <c r="B36" i="24"/>
  <c r="V35" i="24"/>
  <c r="N35" i="24" s="1"/>
  <c r="K35" i="24"/>
  <c r="O35" i="24" s="1"/>
  <c r="V34" i="24"/>
  <c r="N34" i="24"/>
  <c r="K34" i="24"/>
  <c r="O34" i="24" s="1"/>
  <c r="V33" i="24"/>
  <c r="N33" i="24" s="1"/>
  <c r="K33" i="24"/>
  <c r="O33" i="24" s="1"/>
  <c r="V32" i="24"/>
  <c r="N32" i="24"/>
  <c r="K32" i="24"/>
  <c r="O32" i="24" s="1"/>
  <c r="V31" i="24"/>
  <c r="N31" i="24" s="1"/>
  <c r="K31" i="24"/>
  <c r="O31" i="24" s="1"/>
  <c r="V30" i="24"/>
  <c r="N30" i="24"/>
  <c r="K30" i="24"/>
  <c r="O30" i="24" s="1"/>
  <c r="V29" i="24"/>
  <c r="N29" i="24" s="1"/>
  <c r="K29" i="24"/>
  <c r="O29" i="24" s="1"/>
  <c r="V28" i="24"/>
  <c r="N28" i="24"/>
  <c r="K28" i="24"/>
  <c r="O28" i="24" s="1"/>
  <c r="V27" i="24"/>
  <c r="N27" i="24" s="1"/>
  <c r="K27" i="24"/>
  <c r="O27" i="24" s="1"/>
  <c r="V26" i="24"/>
  <c r="N26" i="24"/>
  <c r="K26" i="24"/>
  <c r="O26" i="24" s="1"/>
  <c r="V25" i="24"/>
  <c r="N25" i="24" s="1"/>
  <c r="K25" i="24"/>
  <c r="O25" i="24" s="1"/>
  <c r="V24" i="24"/>
  <c r="N24" i="24"/>
  <c r="K24" i="24"/>
  <c r="O24" i="24" s="1"/>
  <c r="V23" i="24"/>
  <c r="N23" i="24" s="1"/>
  <c r="K23" i="24"/>
  <c r="O23" i="24" s="1"/>
  <c r="V22" i="24"/>
  <c r="N22" i="24"/>
  <c r="K22" i="24"/>
  <c r="O22" i="24" s="1"/>
  <c r="V21" i="24"/>
  <c r="N21" i="24" s="1"/>
  <c r="K21" i="24"/>
  <c r="O21" i="24" s="1"/>
  <c r="V20" i="24"/>
  <c r="N20" i="24"/>
  <c r="K20" i="24"/>
  <c r="O20" i="24" s="1"/>
  <c r="V19" i="24"/>
  <c r="N19" i="24" s="1"/>
  <c r="K19" i="24"/>
  <c r="O19" i="24" s="1"/>
  <c r="V18" i="24"/>
  <c r="N18" i="24"/>
  <c r="K18" i="24"/>
  <c r="O18" i="24" s="1"/>
  <c r="V17" i="24"/>
  <c r="N17" i="24" s="1"/>
  <c r="K17" i="24"/>
  <c r="O17" i="24" s="1"/>
  <c r="V16" i="24"/>
  <c r="N16" i="24"/>
  <c r="K16" i="24"/>
  <c r="O16" i="24" s="1"/>
  <c r="V15" i="24"/>
  <c r="N15" i="24" s="1"/>
  <c r="K15" i="24"/>
  <c r="O15" i="24" s="1"/>
  <c r="V14" i="24"/>
  <c r="N14" i="24"/>
  <c r="K14" i="24"/>
  <c r="O14" i="24" s="1"/>
  <c r="V13" i="24"/>
  <c r="V36" i="24" s="1"/>
  <c r="K13" i="24"/>
  <c r="O13" i="24" s="1"/>
  <c r="V12" i="24"/>
  <c r="N12" i="24"/>
  <c r="K12" i="24"/>
  <c r="O12" i="24" s="1"/>
  <c r="O36" i="24" s="1"/>
  <c r="E37" i="31" l="1"/>
  <c r="P37" i="31"/>
  <c r="I41" i="25"/>
  <c r="U82" i="25"/>
  <c r="L82" i="25"/>
  <c r="O36" i="25"/>
  <c r="N36" i="25"/>
  <c r="L47" i="25" s="1"/>
  <c r="K82" i="25"/>
  <c r="L93" i="25" s="1"/>
  <c r="I41" i="24"/>
  <c r="U82" i="24"/>
  <c r="K82" i="24"/>
  <c r="L93" i="24" s="1"/>
  <c r="L82" i="24"/>
  <c r="N13" i="24"/>
  <c r="N36" i="24" s="1"/>
  <c r="L47" i="24" s="1"/>
  <c r="V82" i="23"/>
  <c r="T82" i="23"/>
  <c r="S82" i="23"/>
  <c r="R82" i="23"/>
  <c r="Q82" i="23"/>
  <c r="P82" i="23"/>
  <c r="O82" i="23"/>
  <c r="N82" i="23"/>
  <c r="M82" i="23"/>
  <c r="G82" i="23"/>
  <c r="F82" i="23"/>
  <c r="I87" i="23" s="1"/>
  <c r="E82" i="23"/>
  <c r="D82" i="23"/>
  <c r="C82" i="23"/>
  <c r="B82" i="23"/>
  <c r="K81" i="23"/>
  <c r="H81" i="23"/>
  <c r="L81" i="23" s="1"/>
  <c r="K80" i="23"/>
  <c r="H80" i="23"/>
  <c r="L80" i="23" s="1"/>
  <c r="K79" i="23"/>
  <c r="H79" i="23"/>
  <c r="L79" i="23" s="1"/>
  <c r="K78" i="23"/>
  <c r="H78" i="23"/>
  <c r="L78" i="23" s="1"/>
  <c r="K77" i="23"/>
  <c r="H77" i="23"/>
  <c r="L77" i="23" s="1"/>
  <c r="K76" i="23"/>
  <c r="H76" i="23"/>
  <c r="L76" i="23" s="1"/>
  <c r="K75" i="23"/>
  <c r="H75" i="23"/>
  <c r="L75" i="23" s="1"/>
  <c r="K74" i="23"/>
  <c r="H74" i="23"/>
  <c r="L74" i="23" s="1"/>
  <c r="K73" i="23"/>
  <c r="H73" i="23"/>
  <c r="L73" i="23" s="1"/>
  <c r="K72" i="23"/>
  <c r="H72" i="23"/>
  <c r="L72" i="23" s="1"/>
  <c r="K71" i="23"/>
  <c r="H71" i="23"/>
  <c r="L71" i="23" s="1"/>
  <c r="K70" i="23"/>
  <c r="H70" i="23"/>
  <c r="L70" i="23" s="1"/>
  <c r="K69" i="23"/>
  <c r="H69" i="23"/>
  <c r="L69" i="23" s="1"/>
  <c r="K68" i="23"/>
  <c r="H68" i="23"/>
  <c r="L68" i="23" s="1"/>
  <c r="K67" i="23"/>
  <c r="H67" i="23"/>
  <c r="L67" i="23" s="1"/>
  <c r="K66" i="23"/>
  <c r="H66" i="23"/>
  <c r="L66" i="23" s="1"/>
  <c r="K65" i="23"/>
  <c r="H65" i="23"/>
  <c r="L65" i="23" s="1"/>
  <c r="K64" i="23"/>
  <c r="H64" i="23"/>
  <c r="L64" i="23" s="1"/>
  <c r="K63" i="23"/>
  <c r="H63" i="23"/>
  <c r="L63" i="23" s="1"/>
  <c r="K62" i="23"/>
  <c r="H62" i="23"/>
  <c r="L62" i="23" s="1"/>
  <c r="W82" i="23"/>
  <c r="W86" i="23" s="1"/>
  <c r="K61" i="23"/>
  <c r="H61" i="23"/>
  <c r="L61" i="23" s="1"/>
  <c r="K60" i="23"/>
  <c r="H60" i="23"/>
  <c r="L60" i="23" s="1"/>
  <c r="K59" i="23"/>
  <c r="H59" i="23"/>
  <c r="L59" i="23" s="1"/>
  <c r="H58" i="23"/>
  <c r="L52" i="23"/>
  <c r="G52" i="23"/>
  <c r="D52" i="23"/>
  <c r="B52" i="23"/>
  <c r="X40" i="23"/>
  <c r="W36" i="23"/>
  <c r="V36" i="23"/>
  <c r="U36" i="23"/>
  <c r="T36" i="23"/>
  <c r="S36" i="23"/>
  <c r="R36" i="23"/>
  <c r="Q36" i="23"/>
  <c r="P36" i="23"/>
  <c r="J36" i="23"/>
  <c r="I36" i="23"/>
  <c r="H36" i="23"/>
  <c r="G36" i="23"/>
  <c r="F36" i="23"/>
  <c r="E36" i="23"/>
  <c r="D36" i="23"/>
  <c r="C36" i="23"/>
  <c r="B36" i="23"/>
  <c r="V35" i="23"/>
  <c r="O35" i="23"/>
  <c r="N35" i="23"/>
  <c r="K35" i="23"/>
  <c r="V34" i="23"/>
  <c r="O34" i="23"/>
  <c r="N34" i="23"/>
  <c r="K34" i="23"/>
  <c r="V33" i="23"/>
  <c r="O33" i="23"/>
  <c r="N33" i="23"/>
  <c r="K33" i="23"/>
  <c r="V32" i="23"/>
  <c r="O32" i="23"/>
  <c r="N32" i="23"/>
  <c r="K32" i="23"/>
  <c r="V31" i="23"/>
  <c r="O31" i="23"/>
  <c r="N31" i="23"/>
  <c r="K31" i="23"/>
  <c r="V30" i="23"/>
  <c r="O30" i="23"/>
  <c r="N30" i="23"/>
  <c r="K30" i="23"/>
  <c r="V29" i="23"/>
  <c r="O29" i="23"/>
  <c r="N29" i="23"/>
  <c r="K29" i="23"/>
  <c r="V28" i="23"/>
  <c r="O28" i="23"/>
  <c r="N28" i="23"/>
  <c r="K28" i="23"/>
  <c r="V27" i="23"/>
  <c r="O27" i="23"/>
  <c r="N27" i="23"/>
  <c r="K27" i="23"/>
  <c r="V26" i="23"/>
  <c r="O26" i="23"/>
  <c r="N26" i="23"/>
  <c r="K26" i="23"/>
  <c r="V25" i="23"/>
  <c r="O25" i="23"/>
  <c r="N25" i="23"/>
  <c r="K25" i="23"/>
  <c r="V24" i="23"/>
  <c r="O24" i="23"/>
  <c r="N24" i="23"/>
  <c r="K24" i="23"/>
  <c r="V23" i="23"/>
  <c r="O23" i="23"/>
  <c r="N23" i="23"/>
  <c r="K23" i="23"/>
  <c r="V22" i="23"/>
  <c r="O22" i="23"/>
  <c r="N22" i="23"/>
  <c r="K22" i="23"/>
  <c r="V21" i="23"/>
  <c r="O21" i="23"/>
  <c r="N21" i="23"/>
  <c r="K21" i="23"/>
  <c r="V20" i="23"/>
  <c r="O20" i="23"/>
  <c r="N20" i="23"/>
  <c r="K20" i="23"/>
  <c r="V19" i="23"/>
  <c r="O19" i="23"/>
  <c r="N19" i="23"/>
  <c r="K19" i="23"/>
  <c r="V18" i="23"/>
  <c r="O18" i="23"/>
  <c r="N18" i="23"/>
  <c r="K18" i="23"/>
  <c r="V17" i="23"/>
  <c r="O17" i="23"/>
  <c r="N17" i="23"/>
  <c r="K17" i="23"/>
  <c r="V16" i="23"/>
  <c r="O16" i="23"/>
  <c r="N16" i="23"/>
  <c r="K16" i="23"/>
  <c r="V15" i="23"/>
  <c r="O15" i="23"/>
  <c r="N15" i="23"/>
  <c r="K15" i="23"/>
  <c r="V14" i="23"/>
  <c r="O14" i="23"/>
  <c r="N14" i="23"/>
  <c r="K14" i="23"/>
  <c r="V13" i="23"/>
  <c r="O13" i="23"/>
  <c r="N13" i="23"/>
  <c r="K13" i="23"/>
  <c r="V12" i="23"/>
  <c r="O12" i="23"/>
  <c r="O36" i="23" s="1"/>
  <c r="N12" i="23"/>
  <c r="N36" i="23" s="1"/>
  <c r="L47" i="23" s="1"/>
  <c r="K12" i="23"/>
  <c r="W62" i="22"/>
  <c r="W63" i="22"/>
  <c r="W64" i="22"/>
  <c r="W65" i="22"/>
  <c r="W66" i="22"/>
  <c r="W67" i="22"/>
  <c r="W68" i="22"/>
  <c r="W69" i="22"/>
  <c r="W70" i="22"/>
  <c r="W61" i="22"/>
  <c r="I41" i="23" l="1"/>
  <c r="U82" i="23"/>
  <c r="L82" i="23"/>
  <c r="K58" i="23"/>
  <c r="K82" i="23" s="1"/>
  <c r="L93" i="23" s="1"/>
  <c r="K66" i="22"/>
  <c r="K72" i="22"/>
  <c r="K73" i="22"/>
  <c r="K74" i="22"/>
  <c r="K58" i="22"/>
  <c r="W82" i="22"/>
  <c r="W86" i="22" s="1"/>
  <c r="V82" i="22"/>
  <c r="T82" i="22"/>
  <c r="S82" i="22"/>
  <c r="R82" i="22"/>
  <c r="Q82" i="22"/>
  <c r="P82" i="22"/>
  <c r="O82" i="22"/>
  <c r="N82" i="22"/>
  <c r="M82" i="22"/>
  <c r="G82" i="22"/>
  <c r="F82" i="22"/>
  <c r="I87" i="22" s="1"/>
  <c r="E82" i="22"/>
  <c r="D82" i="22"/>
  <c r="C82" i="22"/>
  <c r="B82" i="22"/>
  <c r="K81" i="22"/>
  <c r="L81" i="22"/>
  <c r="H81" i="22"/>
  <c r="K80" i="22"/>
  <c r="H80" i="22"/>
  <c r="L80" i="22" s="1"/>
  <c r="K79" i="22"/>
  <c r="H79" i="22"/>
  <c r="L79" i="22" s="1"/>
  <c r="K78" i="22"/>
  <c r="H78" i="22"/>
  <c r="L78" i="22" s="1"/>
  <c r="K77" i="22"/>
  <c r="H77" i="22"/>
  <c r="L77" i="22" s="1"/>
  <c r="K76" i="22"/>
  <c r="H76" i="22"/>
  <c r="L76" i="22" s="1"/>
  <c r="K75" i="22"/>
  <c r="H75" i="22"/>
  <c r="L75" i="22" s="1"/>
  <c r="H74" i="22"/>
  <c r="L74" i="22" s="1"/>
  <c r="H73" i="22"/>
  <c r="L73" i="22" s="1"/>
  <c r="H72" i="22"/>
  <c r="L72" i="22" s="1"/>
  <c r="K71" i="22"/>
  <c r="H71" i="22"/>
  <c r="L71" i="22" s="1"/>
  <c r="K70" i="22"/>
  <c r="H70" i="22"/>
  <c r="L70" i="22" s="1"/>
  <c r="K69" i="22"/>
  <c r="H69" i="22"/>
  <c r="L69" i="22" s="1"/>
  <c r="K68" i="22"/>
  <c r="H68" i="22"/>
  <c r="L68" i="22" s="1"/>
  <c r="K67" i="22"/>
  <c r="H67" i="22"/>
  <c r="L67" i="22" s="1"/>
  <c r="H66" i="22"/>
  <c r="L66" i="22" s="1"/>
  <c r="K65" i="22"/>
  <c r="H65" i="22"/>
  <c r="L65" i="22" s="1"/>
  <c r="K64" i="22"/>
  <c r="H64" i="22"/>
  <c r="L64" i="22" s="1"/>
  <c r="K63" i="22"/>
  <c r="H63" i="22"/>
  <c r="L63" i="22" s="1"/>
  <c r="K62" i="22"/>
  <c r="H62" i="22"/>
  <c r="L62" i="22" s="1"/>
  <c r="K61" i="22"/>
  <c r="H61" i="22"/>
  <c r="L61" i="22" s="1"/>
  <c r="K60" i="22"/>
  <c r="H60" i="22"/>
  <c r="L60" i="22" s="1"/>
  <c r="K59" i="22"/>
  <c r="H59" i="22"/>
  <c r="L59" i="22" s="1"/>
  <c r="H58" i="22"/>
  <c r="L52" i="22"/>
  <c r="G52" i="22"/>
  <c r="D52" i="22"/>
  <c r="B52" i="22"/>
  <c r="X40" i="22"/>
  <c r="W36" i="22"/>
  <c r="U36" i="22"/>
  <c r="T36" i="22"/>
  <c r="S36" i="22"/>
  <c r="R36" i="22"/>
  <c r="Q36" i="22"/>
  <c r="P36" i="22"/>
  <c r="J36" i="22"/>
  <c r="I36" i="22"/>
  <c r="H36" i="22"/>
  <c r="I41" i="22" s="1"/>
  <c r="G36" i="22"/>
  <c r="F36" i="22"/>
  <c r="E36" i="22"/>
  <c r="D36" i="22"/>
  <c r="C36" i="22"/>
  <c r="B36" i="22"/>
  <c r="V35" i="22"/>
  <c r="N35" i="22" s="1"/>
  <c r="K35" i="22"/>
  <c r="O35" i="22" s="1"/>
  <c r="V34" i="22"/>
  <c r="N34" i="22"/>
  <c r="K34" i="22"/>
  <c r="O34" i="22" s="1"/>
  <c r="V33" i="22"/>
  <c r="N33" i="22" s="1"/>
  <c r="K33" i="22"/>
  <c r="O33" i="22" s="1"/>
  <c r="V32" i="22"/>
  <c r="N32" i="22"/>
  <c r="K32" i="22"/>
  <c r="O32" i="22" s="1"/>
  <c r="V31" i="22"/>
  <c r="N31" i="22" s="1"/>
  <c r="K31" i="22"/>
  <c r="O31" i="22" s="1"/>
  <c r="V30" i="22"/>
  <c r="N30" i="22"/>
  <c r="K30" i="22"/>
  <c r="O30" i="22" s="1"/>
  <c r="V29" i="22"/>
  <c r="N29" i="22" s="1"/>
  <c r="K29" i="22"/>
  <c r="O29" i="22" s="1"/>
  <c r="V28" i="22"/>
  <c r="N28" i="22"/>
  <c r="K28" i="22"/>
  <c r="O28" i="22" s="1"/>
  <c r="V27" i="22"/>
  <c r="N27" i="22" s="1"/>
  <c r="K27" i="22"/>
  <c r="O27" i="22" s="1"/>
  <c r="V26" i="22"/>
  <c r="N26" i="22"/>
  <c r="K26" i="22"/>
  <c r="O26" i="22" s="1"/>
  <c r="V25" i="22"/>
  <c r="N25" i="22" s="1"/>
  <c r="K25" i="22"/>
  <c r="O25" i="22" s="1"/>
  <c r="V24" i="22"/>
  <c r="N24" i="22"/>
  <c r="K24" i="22"/>
  <c r="O24" i="22" s="1"/>
  <c r="V23" i="22"/>
  <c r="N23" i="22" s="1"/>
  <c r="K23" i="22"/>
  <c r="O23" i="22" s="1"/>
  <c r="V22" i="22"/>
  <c r="N22" i="22"/>
  <c r="K22" i="22"/>
  <c r="O22" i="22" s="1"/>
  <c r="V21" i="22"/>
  <c r="N21" i="22" s="1"/>
  <c r="K21" i="22"/>
  <c r="O21" i="22" s="1"/>
  <c r="V20" i="22"/>
  <c r="N20" i="22"/>
  <c r="K20" i="22"/>
  <c r="O20" i="22" s="1"/>
  <c r="V19" i="22"/>
  <c r="N19" i="22" s="1"/>
  <c r="K19" i="22"/>
  <c r="O19" i="22" s="1"/>
  <c r="V18" i="22"/>
  <c r="N18" i="22"/>
  <c r="K18" i="22"/>
  <c r="O18" i="22" s="1"/>
  <c r="V17" i="22"/>
  <c r="N17" i="22" s="1"/>
  <c r="K17" i="22"/>
  <c r="O17" i="22" s="1"/>
  <c r="V16" i="22"/>
  <c r="N16" i="22"/>
  <c r="K16" i="22"/>
  <c r="O16" i="22" s="1"/>
  <c r="V15" i="22"/>
  <c r="N15" i="22" s="1"/>
  <c r="K15" i="22"/>
  <c r="O15" i="22" s="1"/>
  <c r="V14" i="22"/>
  <c r="N14" i="22"/>
  <c r="K14" i="22"/>
  <c r="O14" i="22" s="1"/>
  <c r="V13" i="22"/>
  <c r="N13" i="22" s="1"/>
  <c r="K13" i="22"/>
  <c r="O13" i="22" s="1"/>
  <c r="N12" i="22"/>
  <c r="K12" i="22"/>
  <c r="O12" i="22" s="1"/>
  <c r="C82" i="21"/>
  <c r="W86" i="21"/>
  <c r="W82" i="21"/>
  <c r="V82" i="21"/>
  <c r="T82" i="21"/>
  <c r="S82" i="21"/>
  <c r="R82" i="21"/>
  <c r="Q82" i="21"/>
  <c r="P82" i="21"/>
  <c r="O82" i="21"/>
  <c r="N82" i="21"/>
  <c r="M82" i="21"/>
  <c r="G82" i="21"/>
  <c r="F82" i="21"/>
  <c r="I87" i="21" s="1"/>
  <c r="E82" i="21"/>
  <c r="D82" i="21"/>
  <c r="B82" i="21"/>
  <c r="U81" i="21"/>
  <c r="K81" i="21"/>
  <c r="H81" i="21"/>
  <c r="L81" i="21" s="1"/>
  <c r="U80" i="21"/>
  <c r="K80" i="21" s="1"/>
  <c r="H80" i="21"/>
  <c r="L80" i="21" s="1"/>
  <c r="U79" i="21"/>
  <c r="K79" i="21"/>
  <c r="H79" i="21"/>
  <c r="L79" i="21" s="1"/>
  <c r="U78" i="21"/>
  <c r="K78" i="21"/>
  <c r="H78" i="21"/>
  <c r="L78" i="21" s="1"/>
  <c r="U77" i="21"/>
  <c r="K77" i="21"/>
  <c r="H77" i="21"/>
  <c r="L77" i="21" s="1"/>
  <c r="U76" i="21"/>
  <c r="K76" i="21"/>
  <c r="H76" i="21"/>
  <c r="L76" i="21" s="1"/>
  <c r="U75" i="21"/>
  <c r="L75" i="21"/>
  <c r="K75" i="21"/>
  <c r="H75" i="21"/>
  <c r="U74" i="21"/>
  <c r="K74" i="21"/>
  <c r="H74" i="21"/>
  <c r="L74" i="21" s="1"/>
  <c r="U73" i="21"/>
  <c r="L73" i="21"/>
  <c r="K73" i="21"/>
  <c r="H73" i="21"/>
  <c r="U72" i="21"/>
  <c r="K72" i="21"/>
  <c r="H72" i="21"/>
  <c r="L72" i="21" s="1"/>
  <c r="U71" i="21"/>
  <c r="K71" i="21"/>
  <c r="H71" i="21"/>
  <c r="L71" i="21" s="1"/>
  <c r="U70" i="21"/>
  <c r="K70" i="21"/>
  <c r="H70" i="21"/>
  <c r="L70" i="21" s="1"/>
  <c r="U69" i="21"/>
  <c r="K69" i="21"/>
  <c r="H69" i="21"/>
  <c r="L69" i="21" s="1"/>
  <c r="U68" i="21"/>
  <c r="K68" i="21"/>
  <c r="H68" i="21"/>
  <c r="L68" i="21" s="1"/>
  <c r="U67" i="21"/>
  <c r="K67" i="21"/>
  <c r="H67" i="21"/>
  <c r="L67" i="21" s="1"/>
  <c r="U66" i="21"/>
  <c r="K66" i="21"/>
  <c r="H66" i="21"/>
  <c r="L66" i="21" s="1"/>
  <c r="U65" i="21"/>
  <c r="K65" i="21"/>
  <c r="H65" i="21"/>
  <c r="L65" i="21" s="1"/>
  <c r="U64" i="21"/>
  <c r="K64" i="21"/>
  <c r="H64" i="21"/>
  <c r="L64" i="21" s="1"/>
  <c r="U63" i="21"/>
  <c r="K63" i="21"/>
  <c r="H63" i="21"/>
  <c r="L63" i="21" s="1"/>
  <c r="U62" i="21"/>
  <c r="K62" i="21"/>
  <c r="H62" i="21"/>
  <c r="L62" i="21" s="1"/>
  <c r="U61" i="21"/>
  <c r="K61" i="21"/>
  <c r="H61" i="21"/>
  <c r="L61" i="21" s="1"/>
  <c r="U60" i="21"/>
  <c r="K60" i="21"/>
  <c r="H60" i="21"/>
  <c r="L60" i="21" s="1"/>
  <c r="U59" i="21"/>
  <c r="K59" i="21"/>
  <c r="H59" i="21"/>
  <c r="L59" i="21" s="1"/>
  <c r="K58" i="21"/>
  <c r="H58" i="21"/>
  <c r="L52" i="21"/>
  <c r="G52" i="21"/>
  <c r="D52" i="21"/>
  <c r="B52" i="21"/>
  <c r="X40" i="21"/>
  <c r="W36" i="21"/>
  <c r="U36" i="21"/>
  <c r="T36" i="21"/>
  <c r="S36" i="21"/>
  <c r="R36" i="21"/>
  <c r="Q36" i="21"/>
  <c r="P36" i="21"/>
  <c r="J36" i="21"/>
  <c r="I36" i="21"/>
  <c r="H36" i="21"/>
  <c r="I41" i="21" s="1"/>
  <c r="F36" i="21"/>
  <c r="E36" i="21"/>
  <c r="D36" i="21"/>
  <c r="C36" i="21"/>
  <c r="B36" i="21"/>
  <c r="V35" i="21"/>
  <c r="N35" i="21" s="1"/>
  <c r="K35" i="21"/>
  <c r="O35" i="21" s="1"/>
  <c r="V34" i="21"/>
  <c r="K34" i="21"/>
  <c r="O34" i="21" s="1"/>
  <c r="V33" i="21"/>
  <c r="K33" i="21"/>
  <c r="O33" i="21" s="1"/>
  <c r="V32" i="21"/>
  <c r="K32" i="21"/>
  <c r="O32" i="21" s="1"/>
  <c r="N32" i="21"/>
  <c r="V31" i="21"/>
  <c r="K31" i="21"/>
  <c r="O31" i="21" s="1"/>
  <c r="N31" i="21"/>
  <c r="V30" i="21"/>
  <c r="K30" i="21"/>
  <c r="O30" i="21" s="1"/>
  <c r="N30" i="21"/>
  <c r="V29" i="21"/>
  <c r="K29" i="21"/>
  <c r="O29" i="21" s="1"/>
  <c r="V28" i="21"/>
  <c r="K28" i="21"/>
  <c r="O28" i="21" s="1"/>
  <c r="V27" i="21"/>
  <c r="K27" i="21"/>
  <c r="O27" i="21" s="1"/>
  <c r="N27" i="21"/>
  <c r="V26" i="21"/>
  <c r="K26" i="21"/>
  <c r="O26" i="21" s="1"/>
  <c r="V25" i="21"/>
  <c r="N25" i="21" s="1"/>
  <c r="K25" i="21"/>
  <c r="O25" i="21" s="1"/>
  <c r="V24" i="21"/>
  <c r="K24" i="21"/>
  <c r="O24" i="21" s="1"/>
  <c r="N24" i="21"/>
  <c r="V23" i="21"/>
  <c r="K23" i="21"/>
  <c r="O23" i="21" s="1"/>
  <c r="N23" i="21"/>
  <c r="V22" i="21"/>
  <c r="K22" i="21"/>
  <c r="O22" i="21" s="1"/>
  <c r="N22" i="21"/>
  <c r="V21" i="21"/>
  <c r="K21" i="21"/>
  <c r="O21" i="21" s="1"/>
  <c r="V20" i="21"/>
  <c r="K20" i="21"/>
  <c r="O20" i="21" s="1"/>
  <c r="V19" i="21"/>
  <c r="K19" i="21"/>
  <c r="O19" i="21" s="1"/>
  <c r="N19" i="21"/>
  <c r="V18" i="21"/>
  <c r="K18" i="21"/>
  <c r="O18" i="21" s="1"/>
  <c r="V17" i="21"/>
  <c r="K17" i="21"/>
  <c r="O17" i="21" s="1"/>
  <c r="V16" i="21"/>
  <c r="K16" i="21"/>
  <c r="O16" i="21" s="1"/>
  <c r="N16" i="21"/>
  <c r="V15" i="21"/>
  <c r="N15" i="21"/>
  <c r="K15" i="21"/>
  <c r="O15" i="21" s="1"/>
  <c r="V14" i="21"/>
  <c r="N14" i="21"/>
  <c r="K14" i="21"/>
  <c r="O14" i="21" s="1"/>
  <c r="V13" i="21"/>
  <c r="N13" i="21" s="1"/>
  <c r="K13" i="21"/>
  <c r="O13" i="21" s="1"/>
  <c r="V12" i="21"/>
  <c r="K12" i="21"/>
  <c r="O12" i="21" s="1"/>
  <c r="W86" i="20"/>
  <c r="W82" i="20"/>
  <c r="V82" i="20"/>
  <c r="T82" i="20"/>
  <c r="S82" i="20"/>
  <c r="R82" i="20"/>
  <c r="Q82" i="20"/>
  <c r="P82" i="20"/>
  <c r="O82" i="20"/>
  <c r="N82" i="20"/>
  <c r="M82" i="20"/>
  <c r="G82" i="20"/>
  <c r="F82" i="20"/>
  <c r="I87" i="20" s="1"/>
  <c r="E82" i="20"/>
  <c r="D82" i="20"/>
  <c r="C82" i="20"/>
  <c r="B82" i="20"/>
  <c r="U81" i="20"/>
  <c r="K81" i="20"/>
  <c r="H81" i="20"/>
  <c r="L81" i="20" s="1"/>
  <c r="U80" i="20"/>
  <c r="K80" i="20" s="1"/>
  <c r="H80" i="20"/>
  <c r="L80" i="20" s="1"/>
  <c r="U79" i="20"/>
  <c r="K79" i="20"/>
  <c r="H79" i="20"/>
  <c r="L79" i="20" s="1"/>
  <c r="U78" i="20"/>
  <c r="K78" i="20" s="1"/>
  <c r="H78" i="20"/>
  <c r="L78" i="20" s="1"/>
  <c r="U77" i="20"/>
  <c r="K77" i="20"/>
  <c r="H77" i="20"/>
  <c r="L77" i="20" s="1"/>
  <c r="U76" i="20"/>
  <c r="K76" i="20" s="1"/>
  <c r="H76" i="20"/>
  <c r="L76" i="20" s="1"/>
  <c r="U75" i="20"/>
  <c r="K75" i="20"/>
  <c r="H75" i="20"/>
  <c r="L75" i="20" s="1"/>
  <c r="U74" i="20"/>
  <c r="K74" i="20" s="1"/>
  <c r="H74" i="20"/>
  <c r="L74" i="20" s="1"/>
  <c r="U73" i="20"/>
  <c r="K73" i="20"/>
  <c r="H73" i="20"/>
  <c r="L73" i="20" s="1"/>
  <c r="U72" i="20"/>
  <c r="K72" i="20" s="1"/>
  <c r="H72" i="20"/>
  <c r="L72" i="20" s="1"/>
  <c r="U71" i="20"/>
  <c r="K71" i="20"/>
  <c r="H71" i="20"/>
  <c r="L71" i="20" s="1"/>
  <c r="U70" i="20"/>
  <c r="K70" i="20" s="1"/>
  <c r="H70" i="20"/>
  <c r="L70" i="20" s="1"/>
  <c r="U69" i="20"/>
  <c r="K69" i="20"/>
  <c r="H69" i="20"/>
  <c r="L69" i="20" s="1"/>
  <c r="U68" i="20"/>
  <c r="K68" i="20" s="1"/>
  <c r="H68" i="20"/>
  <c r="L68" i="20" s="1"/>
  <c r="U67" i="20"/>
  <c r="K67" i="20"/>
  <c r="H67" i="20"/>
  <c r="L67" i="20" s="1"/>
  <c r="U66" i="20"/>
  <c r="K66" i="20" s="1"/>
  <c r="H66" i="20"/>
  <c r="L66" i="20" s="1"/>
  <c r="U65" i="20"/>
  <c r="K65" i="20"/>
  <c r="H65" i="20"/>
  <c r="L65" i="20" s="1"/>
  <c r="U64" i="20"/>
  <c r="K64" i="20" s="1"/>
  <c r="H64" i="20"/>
  <c r="L64" i="20" s="1"/>
  <c r="U63" i="20"/>
  <c r="K63" i="20"/>
  <c r="H63" i="20"/>
  <c r="L63" i="20" s="1"/>
  <c r="U62" i="20"/>
  <c r="K62" i="20" s="1"/>
  <c r="H62" i="20"/>
  <c r="L62" i="20" s="1"/>
  <c r="U61" i="20"/>
  <c r="K61" i="20"/>
  <c r="H61" i="20"/>
  <c r="L61" i="20" s="1"/>
  <c r="U60" i="20"/>
  <c r="K60" i="20" s="1"/>
  <c r="H60" i="20"/>
  <c r="L60" i="20" s="1"/>
  <c r="U59" i="20"/>
  <c r="K59" i="20"/>
  <c r="H59" i="20"/>
  <c r="L59" i="20" s="1"/>
  <c r="U58" i="20"/>
  <c r="K58" i="20" s="1"/>
  <c r="H58" i="20"/>
  <c r="L52" i="20"/>
  <c r="G52" i="20"/>
  <c r="D52" i="20"/>
  <c r="B52" i="20"/>
  <c r="X40" i="20"/>
  <c r="W36" i="20"/>
  <c r="U36" i="20"/>
  <c r="T36" i="20"/>
  <c r="S36" i="20"/>
  <c r="R36" i="20"/>
  <c r="Q36" i="20"/>
  <c r="P36" i="20"/>
  <c r="J36" i="20"/>
  <c r="I36" i="20"/>
  <c r="H36" i="20"/>
  <c r="I41" i="20" s="1"/>
  <c r="F36" i="20"/>
  <c r="E36" i="20"/>
  <c r="D36" i="20"/>
  <c r="C36" i="20"/>
  <c r="B36" i="20"/>
  <c r="V35" i="20"/>
  <c r="K35" i="20"/>
  <c r="O35" i="20" s="1"/>
  <c r="G35" i="20"/>
  <c r="N35" i="20" s="1"/>
  <c r="V34" i="20"/>
  <c r="O34" i="20"/>
  <c r="K34" i="20"/>
  <c r="G34" i="20"/>
  <c r="N34" i="20" s="1"/>
  <c r="V33" i="20"/>
  <c r="K33" i="20"/>
  <c r="O33" i="20" s="1"/>
  <c r="G33" i="20"/>
  <c r="V32" i="20"/>
  <c r="N32" i="20"/>
  <c r="K32" i="20"/>
  <c r="O32" i="20" s="1"/>
  <c r="G32" i="20"/>
  <c r="V31" i="20"/>
  <c r="N31" i="20"/>
  <c r="K31" i="20"/>
  <c r="O31" i="20" s="1"/>
  <c r="G31" i="20"/>
  <c r="V30" i="20"/>
  <c r="K30" i="20"/>
  <c r="O30" i="20" s="1"/>
  <c r="G30" i="20"/>
  <c r="V29" i="20"/>
  <c r="K29" i="20"/>
  <c r="O29" i="20" s="1"/>
  <c r="G29" i="20"/>
  <c r="V28" i="20"/>
  <c r="K28" i="20"/>
  <c r="O28" i="20" s="1"/>
  <c r="G28" i="20"/>
  <c r="V27" i="20"/>
  <c r="K27" i="20"/>
  <c r="O27" i="20" s="1"/>
  <c r="G27" i="20"/>
  <c r="N27" i="20" s="1"/>
  <c r="V26" i="20"/>
  <c r="K26" i="20"/>
  <c r="O26" i="20" s="1"/>
  <c r="G26" i="20"/>
  <c r="N26" i="20" s="1"/>
  <c r="V25" i="20"/>
  <c r="N25" i="20" s="1"/>
  <c r="K25" i="20"/>
  <c r="O25" i="20" s="1"/>
  <c r="G25" i="20"/>
  <c r="V24" i="20"/>
  <c r="K24" i="20"/>
  <c r="O24" i="20" s="1"/>
  <c r="G24" i="20"/>
  <c r="N24" i="20" s="1"/>
  <c r="V23" i="20"/>
  <c r="K23" i="20"/>
  <c r="O23" i="20" s="1"/>
  <c r="G23" i="20"/>
  <c r="N23" i="20" s="1"/>
  <c r="V22" i="20"/>
  <c r="K22" i="20"/>
  <c r="O22" i="20" s="1"/>
  <c r="G22" i="20"/>
  <c r="V21" i="20"/>
  <c r="K21" i="20"/>
  <c r="O21" i="20" s="1"/>
  <c r="G21" i="20"/>
  <c r="V20" i="20"/>
  <c r="K20" i="20"/>
  <c r="O20" i="20" s="1"/>
  <c r="G20" i="20"/>
  <c r="V19" i="20"/>
  <c r="K19" i="20"/>
  <c r="O19" i="20" s="1"/>
  <c r="G19" i="20"/>
  <c r="N19" i="20" s="1"/>
  <c r="V18" i="20"/>
  <c r="K18" i="20"/>
  <c r="O18" i="20" s="1"/>
  <c r="G18" i="20"/>
  <c r="V17" i="20"/>
  <c r="K17" i="20"/>
  <c r="O17" i="20" s="1"/>
  <c r="G17" i="20"/>
  <c r="V16" i="20"/>
  <c r="K16" i="20"/>
  <c r="O16" i="20" s="1"/>
  <c r="G16" i="20"/>
  <c r="N16" i="20" s="1"/>
  <c r="V15" i="20"/>
  <c r="K15" i="20"/>
  <c r="O15" i="20" s="1"/>
  <c r="G15" i="20"/>
  <c r="N15" i="20" s="1"/>
  <c r="V14" i="20"/>
  <c r="O14" i="20"/>
  <c r="K14" i="20"/>
  <c r="G14" i="20"/>
  <c r="V13" i="20"/>
  <c r="K13" i="20"/>
  <c r="O13" i="20" s="1"/>
  <c r="G13" i="20"/>
  <c r="V12" i="20"/>
  <c r="V36" i="20" s="1"/>
  <c r="K12" i="20"/>
  <c r="O12" i="20" s="1"/>
  <c r="G12" i="20"/>
  <c r="W82" i="19"/>
  <c r="W86" i="19" s="1"/>
  <c r="V82" i="19"/>
  <c r="T82" i="19"/>
  <c r="S82" i="19"/>
  <c r="R82" i="19"/>
  <c r="Q82" i="19"/>
  <c r="P82" i="19"/>
  <c r="O82" i="19"/>
  <c r="N82" i="19"/>
  <c r="M82" i="19"/>
  <c r="G82" i="19"/>
  <c r="F82" i="19"/>
  <c r="I87" i="19" s="1"/>
  <c r="E82" i="19"/>
  <c r="D82" i="19"/>
  <c r="C82" i="19"/>
  <c r="B82" i="19"/>
  <c r="U81" i="19"/>
  <c r="K81" i="19" s="1"/>
  <c r="L81" i="19"/>
  <c r="H81" i="19"/>
  <c r="U80" i="19"/>
  <c r="K80" i="19" s="1"/>
  <c r="H80" i="19"/>
  <c r="L80" i="19" s="1"/>
  <c r="U79" i="19"/>
  <c r="K79" i="19"/>
  <c r="H79" i="19"/>
  <c r="L79" i="19" s="1"/>
  <c r="U78" i="19"/>
  <c r="K78" i="19" s="1"/>
  <c r="L78" i="19"/>
  <c r="H78" i="19"/>
  <c r="U77" i="19"/>
  <c r="K77" i="19" s="1"/>
  <c r="H77" i="19"/>
  <c r="L77" i="19" s="1"/>
  <c r="U76" i="19"/>
  <c r="K76" i="19"/>
  <c r="H76" i="19"/>
  <c r="L76" i="19" s="1"/>
  <c r="U75" i="19"/>
  <c r="K75" i="19" s="1"/>
  <c r="H75" i="19"/>
  <c r="L75" i="19" s="1"/>
  <c r="U74" i="19"/>
  <c r="K74" i="19" s="1"/>
  <c r="H74" i="19"/>
  <c r="L74" i="19" s="1"/>
  <c r="U73" i="19"/>
  <c r="K73" i="19"/>
  <c r="H73" i="19"/>
  <c r="L73" i="19" s="1"/>
  <c r="U72" i="19"/>
  <c r="K72" i="19" s="1"/>
  <c r="H72" i="19"/>
  <c r="L72" i="19" s="1"/>
  <c r="U71" i="19"/>
  <c r="K71" i="19" s="1"/>
  <c r="H71" i="19"/>
  <c r="L71" i="19" s="1"/>
  <c r="U70" i="19"/>
  <c r="K70" i="19"/>
  <c r="H70" i="19"/>
  <c r="L70" i="19" s="1"/>
  <c r="U69" i="19"/>
  <c r="K69" i="19" s="1"/>
  <c r="H69" i="19"/>
  <c r="L69" i="19" s="1"/>
  <c r="U68" i="19"/>
  <c r="K68" i="19" s="1"/>
  <c r="H68" i="19"/>
  <c r="L68" i="19" s="1"/>
  <c r="U67" i="19"/>
  <c r="K67" i="19"/>
  <c r="H67" i="19"/>
  <c r="L67" i="19" s="1"/>
  <c r="U66" i="19"/>
  <c r="K66" i="19" s="1"/>
  <c r="H66" i="19"/>
  <c r="L66" i="19" s="1"/>
  <c r="U65" i="19"/>
  <c r="K65" i="19" s="1"/>
  <c r="H65" i="19"/>
  <c r="L65" i="19" s="1"/>
  <c r="U64" i="19"/>
  <c r="K64" i="19"/>
  <c r="H64" i="19"/>
  <c r="L64" i="19" s="1"/>
  <c r="U63" i="19"/>
  <c r="K63" i="19" s="1"/>
  <c r="H63" i="19"/>
  <c r="L63" i="19" s="1"/>
  <c r="U62" i="19"/>
  <c r="K62" i="19" s="1"/>
  <c r="H62" i="19"/>
  <c r="L62" i="19" s="1"/>
  <c r="U61" i="19"/>
  <c r="K61" i="19"/>
  <c r="H61" i="19"/>
  <c r="L61" i="19" s="1"/>
  <c r="U60" i="19"/>
  <c r="K60" i="19" s="1"/>
  <c r="L60" i="19"/>
  <c r="H60" i="19"/>
  <c r="U59" i="19"/>
  <c r="K59" i="19" s="1"/>
  <c r="H59" i="19"/>
  <c r="L59" i="19" s="1"/>
  <c r="U58" i="19"/>
  <c r="U82" i="19" s="1"/>
  <c r="K58" i="19"/>
  <c r="H58" i="19"/>
  <c r="L52" i="19"/>
  <c r="G52" i="19"/>
  <c r="D52" i="19"/>
  <c r="B52" i="19"/>
  <c r="X40" i="19"/>
  <c r="W36" i="19"/>
  <c r="U36" i="19"/>
  <c r="T36" i="19"/>
  <c r="S36" i="19"/>
  <c r="R36" i="19"/>
  <c r="Q36" i="19"/>
  <c r="P36" i="19"/>
  <c r="J36" i="19"/>
  <c r="I36" i="19"/>
  <c r="H36" i="19"/>
  <c r="F36" i="19"/>
  <c r="E36" i="19"/>
  <c r="D36" i="19"/>
  <c r="C36" i="19"/>
  <c r="B36" i="19"/>
  <c r="V35" i="19"/>
  <c r="K35" i="19"/>
  <c r="O35" i="19" s="1"/>
  <c r="G35" i="19"/>
  <c r="V34" i="19"/>
  <c r="K34" i="19"/>
  <c r="O34" i="19" s="1"/>
  <c r="G34" i="19"/>
  <c r="V33" i="19"/>
  <c r="K33" i="19"/>
  <c r="O33" i="19" s="1"/>
  <c r="G33" i="19"/>
  <c r="V32" i="19"/>
  <c r="K32" i="19"/>
  <c r="O32" i="19" s="1"/>
  <c r="G32" i="19"/>
  <c r="V31" i="19"/>
  <c r="K31" i="19"/>
  <c r="O31" i="19" s="1"/>
  <c r="G31" i="19"/>
  <c r="V30" i="19"/>
  <c r="K30" i="19"/>
  <c r="O30" i="19" s="1"/>
  <c r="G30" i="19"/>
  <c r="N30" i="19" s="1"/>
  <c r="V29" i="19"/>
  <c r="K29" i="19"/>
  <c r="O29" i="19" s="1"/>
  <c r="G29" i="19"/>
  <c r="V28" i="19"/>
  <c r="G28" i="19"/>
  <c r="V27" i="19"/>
  <c r="G27" i="19"/>
  <c r="K27" i="19" s="1"/>
  <c r="O27" i="19" s="1"/>
  <c r="V26" i="19"/>
  <c r="G26" i="19"/>
  <c r="K26" i="19" s="1"/>
  <c r="O26" i="19" s="1"/>
  <c r="V25" i="19"/>
  <c r="G25" i="19"/>
  <c r="V24" i="19"/>
  <c r="G24" i="19"/>
  <c r="N24" i="19" s="1"/>
  <c r="V23" i="19"/>
  <c r="N23" i="19" s="1"/>
  <c r="G23" i="19"/>
  <c r="K23" i="19" s="1"/>
  <c r="O23" i="19" s="1"/>
  <c r="V22" i="19"/>
  <c r="G22" i="19"/>
  <c r="V21" i="19"/>
  <c r="N21" i="19"/>
  <c r="G21" i="19"/>
  <c r="K21" i="19" s="1"/>
  <c r="O21" i="19" s="1"/>
  <c r="V20" i="19"/>
  <c r="G20" i="19"/>
  <c r="K20" i="19" s="1"/>
  <c r="O20" i="19" s="1"/>
  <c r="V19" i="19"/>
  <c r="G19" i="19"/>
  <c r="V18" i="19"/>
  <c r="G18" i="19"/>
  <c r="V17" i="19"/>
  <c r="G17" i="19"/>
  <c r="K17" i="19" s="1"/>
  <c r="O17" i="19" s="1"/>
  <c r="V16" i="19"/>
  <c r="G16" i="19"/>
  <c r="N16" i="19" s="1"/>
  <c r="V15" i="19"/>
  <c r="G15" i="19"/>
  <c r="K15" i="19" s="1"/>
  <c r="O15" i="19" s="1"/>
  <c r="V14" i="19"/>
  <c r="K14" i="19"/>
  <c r="O14" i="19" s="1"/>
  <c r="G14" i="19"/>
  <c r="V13" i="19"/>
  <c r="G13" i="19"/>
  <c r="N13" i="19" s="1"/>
  <c r="V12" i="19"/>
  <c r="K12" i="19"/>
  <c r="O12" i="19" s="1"/>
  <c r="G12" i="19"/>
  <c r="N12" i="19" s="1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12" i="18"/>
  <c r="L82" i="22" l="1"/>
  <c r="K82" i="22"/>
  <c r="L93" i="22" s="1"/>
  <c r="O36" i="22"/>
  <c r="N36" i="22"/>
  <c r="L47" i="22" s="1"/>
  <c r="U82" i="22"/>
  <c r="V36" i="22"/>
  <c r="K82" i="21"/>
  <c r="L93" i="21" s="1"/>
  <c r="N28" i="21"/>
  <c r="N21" i="21"/>
  <c r="N18" i="21"/>
  <c r="N29" i="21"/>
  <c r="N33" i="21"/>
  <c r="N34" i="21"/>
  <c r="N17" i="21"/>
  <c r="G36" i="21"/>
  <c r="N20" i="21"/>
  <c r="N26" i="21"/>
  <c r="N12" i="21"/>
  <c r="L82" i="21"/>
  <c r="O36" i="21"/>
  <c r="V36" i="21"/>
  <c r="U82" i="21"/>
  <c r="N33" i="20"/>
  <c r="N29" i="20"/>
  <c r="K82" i="20"/>
  <c r="L93" i="20" s="1"/>
  <c r="N30" i="20"/>
  <c r="N22" i="20"/>
  <c r="N28" i="20"/>
  <c r="N14" i="20"/>
  <c r="N18" i="20"/>
  <c r="N20" i="20"/>
  <c r="G36" i="20"/>
  <c r="N21" i="20"/>
  <c r="N13" i="20"/>
  <c r="N17" i="20"/>
  <c r="O36" i="20"/>
  <c r="L82" i="20"/>
  <c r="U82" i="20"/>
  <c r="N12" i="20"/>
  <c r="N33" i="19"/>
  <c r="N14" i="19"/>
  <c r="L82" i="19"/>
  <c r="N34" i="19"/>
  <c r="N18" i="19"/>
  <c r="N31" i="19"/>
  <c r="N19" i="19"/>
  <c r="N22" i="19"/>
  <c r="N25" i="19"/>
  <c r="N28" i="19"/>
  <c r="I41" i="19"/>
  <c r="N35" i="19"/>
  <c r="N17" i="19"/>
  <c r="K24" i="19"/>
  <c r="O24" i="19" s="1"/>
  <c r="N15" i="19"/>
  <c r="N26" i="19"/>
  <c r="K18" i="19"/>
  <c r="O18" i="19" s="1"/>
  <c r="N32" i="19"/>
  <c r="N20" i="19"/>
  <c r="N27" i="19"/>
  <c r="N29" i="19"/>
  <c r="K82" i="19"/>
  <c r="L93" i="19" s="1"/>
  <c r="G36" i="19"/>
  <c r="V36" i="19"/>
  <c r="K13" i="19"/>
  <c r="O13" i="19" s="1"/>
  <c r="K19" i="19"/>
  <c r="O19" i="19" s="1"/>
  <c r="K25" i="19"/>
  <c r="O25" i="19" s="1"/>
  <c r="K16" i="19"/>
  <c r="O16" i="19" s="1"/>
  <c r="K22" i="19"/>
  <c r="O22" i="19" s="1"/>
  <c r="K28" i="19"/>
  <c r="O28" i="19" s="1"/>
  <c r="W86" i="18"/>
  <c r="W82" i="18"/>
  <c r="V82" i="18"/>
  <c r="T82" i="18"/>
  <c r="S82" i="18"/>
  <c r="R82" i="18"/>
  <c r="Q82" i="18"/>
  <c r="P82" i="18"/>
  <c r="O82" i="18"/>
  <c r="N82" i="18"/>
  <c r="M82" i="18"/>
  <c r="G82" i="18"/>
  <c r="F82" i="18"/>
  <c r="I87" i="18" s="1"/>
  <c r="E82" i="18"/>
  <c r="D82" i="18"/>
  <c r="C82" i="18"/>
  <c r="B82" i="18"/>
  <c r="U81" i="18"/>
  <c r="K81" i="18"/>
  <c r="H81" i="18"/>
  <c r="L81" i="18" s="1"/>
  <c r="U80" i="18"/>
  <c r="K80" i="18"/>
  <c r="H80" i="18"/>
  <c r="L80" i="18" s="1"/>
  <c r="U79" i="18"/>
  <c r="K79" i="18"/>
  <c r="H79" i="18"/>
  <c r="L79" i="18" s="1"/>
  <c r="U78" i="18"/>
  <c r="K78" i="18"/>
  <c r="H78" i="18"/>
  <c r="L78" i="18" s="1"/>
  <c r="U77" i="18"/>
  <c r="K77" i="18"/>
  <c r="H77" i="18"/>
  <c r="L77" i="18" s="1"/>
  <c r="U76" i="18"/>
  <c r="K76" i="18"/>
  <c r="H76" i="18"/>
  <c r="L76" i="18" s="1"/>
  <c r="U75" i="18"/>
  <c r="K75" i="18"/>
  <c r="H75" i="18"/>
  <c r="L75" i="18" s="1"/>
  <c r="U74" i="18"/>
  <c r="K74" i="18"/>
  <c r="H74" i="18"/>
  <c r="L74" i="18" s="1"/>
  <c r="U73" i="18"/>
  <c r="K73" i="18"/>
  <c r="H73" i="18"/>
  <c r="L73" i="18" s="1"/>
  <c r="U72" i="18"/>
  <c r="K72" i="18"/>
  <c r="H72" i="18"/>
  <c r="L72" i="18" s="1"/>
  <c r="U71" i="18"/>
  <c r="K71" i="18"/>
  <c r="H71" i="18"/>
  <c r="L71" i="18" s="1"/>
  <c r="U70" i="18"/>
  <c r="K70" i="18"/>
  <c r="H70" i="18"/>
  <c r="L70" i="18" s="1"/>
  <c r="U69" i="18"/>
  <c r="K69" i="18"/>
  <c r="H69" i="18"/>
  <c r="L69" i="18" s="1"/>
  <c r="U68" i="18"/>
  <c r="K68" i="18"/>
  <c r="H68" i="18"/>
  <c r="L68" i="18" s="1"/>
  <c r="U67" i="18"/>
  <c r="K67" i="18"/>
  <c r="H67" i="18"/>
  <c r="L67" i="18" s="1"/>
  <c r="U66" i="18"/>
  <c r="K66" i="18"/>
  <c r="H66" i="18"/>
  <c r="L66" i="18" s="1"/>
  <c r="U65" i="18"/>
  <c r="K65" i="18"/>
  <c r="H65" i="18"/>
  <c r="L65" i="18" s="1"/>
  <c r="U64" i="18"/>
  <c r="K64" i="18"/>
  <c r="H64" i="18"/>
  <c r="L64" i="18" s="1"/>
  <c r="U63" i="18"/>
  <c r="K63" i="18"/>
  <c r="H63" i="18"/>
  <c r="L63" i="18" s="1"/>
  <c r="U62" i="18"/>
  <c r="K62" i="18"/>
  <c r="H62" i="18"/>
  <c r="L62" i="18" s="1"/>
  <c r="U61" i="18"/>
  <c r="K61" i="18"/>
  <c r="H61" i="18"/>
  <c r="L61" i="18" s="1"/>
  <c r="U60" i="18"/>
  <c r="K60" i="18"/>
  <c r="H60" i="18"/>
  <c r="L60" i="18" s="1"/>
  <c r="U59" i="18"/>
  <c r="K59" i="18"/>
  <c r="H59" i="18"/>
  <c r="L59" i="18" s="1"/>
  <c r="U58" i="18"/>
  <c r="K58" i="18" s="1"/>
  <c r="H58" i="18"/>
  <c r="L52" i="18"/>
  <c r="G52" i="18"/>
  <c r="D52" i="18"/>
  <c r="B52" i="18"/>
  <c r="X40" i="18"/>
  <c r="W36" i="18"/>
  <c r="U36" i="18"/>
  <c r="T36" i="18"/>
  <c r="S36" i="18"/>
  <c r="R36" i="18"/>
  <c r="Q36" i="18"/>
  <c r="P36" i="18"/>
  <c r="J36" i="18"/>
  <c r="I36" i="18"/>
  <c r="H36" i="18"/>
  <c r="F36" i="18"/>
  <c r="E36" i="18"/>
  <c r="D36" i="18"/>
  <c r="C36" i="18"/>
  <c r="B36" i="18"/>
  <c r="V35" i="18"/>
  <c r="N35" i="18" s="1"/>
  <c r="K35" i="18"/>
  <c r="O35" i="18" s="1"/>
  <c r="V34" i="18"/>
  <c r="N34" i="18" s="1"/>
  <c r="K34" i="18"/>
  <c r="O34" i="18" s="1"/>
  <c r="V33" i="18"/>
  <c r="N33" i="18" s="1"/>
  <c r="K33" i="18"/>
  <c r="O33" i="18" s="1"/>
  <c r="V32" i="18"/>
  <c r="N32" i="18" s="1"/>
  <c r="K32" i="18"/>
  <c r="O32" i="18" s="1"/>
  <c r="V31" i="18"/>
  <c r="N31" i="18" s="1"/>
  <c r="K31" i="18"/>
  <c r="O31" i="18" s="1"/>
  <c r="V30" i="18"/>
  <c r="N30" i="18" s="1"/>
  <c r="K30" i="18"/>
  <c r="O30" i="18" s="1"/>
  <c r="V29" i="18"/>
  <c r="N29" i="18" s="1"/>
  <c r="K29" i="18"/>
  <c r="O29" i="18" s="1"/>
  <c r="V28" i="18"/>
  <c r="N28" i="18" s="1"/>
  <c r="K28" i="18"/>
  <c r="O28" i="18" s="1"/>
  <c r="V27" i="18"/>
  <c r="N27" i="18" s="1"/>
  <c r="K27" i="18"/>
  <c r="O27" i="18" s="1"/>
  <c r="V26" i="18"/>
  <c r="N26" i="18" s="1"/>
  <c r="K26" i="18"/>
  <c r="O26" i="18" s="1"/>
  <c r="V25" i="18"/>
  <c r="N25" i="18" s="1"/>
  <c r="K25" i="18"/>
  <c r="O25" i="18" s="1"/>
  <c r="V24" i="18"/>
  <c r="N24" i="18" s="1"/>
  <c r="K24" i="18"/>
  <c r="O24" i="18" s="1"/>
  <c r="V23" i="18"/>
  <c r="N23" i="18" s="1"/>
  <c r="K23" i="18"/>
  <c r="O23" i="18" s="1"/>
  <c r="V22" i="18"/>
  <c r="N22" i="18" s="1"/>
  <c r="K22" i="18"/>
  <c r="O22" i="18" s="1"/>
  <c r="V21" i="18"/>
  <c r="N21" i="18" s="1"/>
  <c r="K21" i="18"/>
  <c r="O21" i="18" s="1"/>
  <c r="V20" i="18"/>
  <c r="N20" i="18" s="1"/>
  <c r="K20" i="18"/>
  <c r="O20" i="18" s="1"/>
  <c r="V19" i="18"/>
  <c r="N19" i="18" s="1"/>
  <c r="K19" i="18"/>
  <c r="O19" i="18" s="1"/>
  <c r="V18" i="18"/>
  <c r="N18" i="18" s="1"/>
  <c r="K18" i="18"/>
  <c r="O18" i="18" s="1"/>
  <c r="V17" i="18"/>
  <c r="N17" i="18" s="1"/>
  <c r="K17" i="18"/>
  <c r="O17" i="18" s="1"/>
  <c r="V16" i="18"/>
  <c r="N16" i="18" s="1"/>
  <c r="K16" i="18"/>
  <c r="O16" i="18" s="1"/>
  <c r="V15" i="18"/>
  <c r="N15" i="18" s="1"/>
  <c r="K15" i="18"/>
  <c r="O15" i="18" s="1"/>
  <c r="V14" i="18"/>
  <c r="N14" i="18" s="1"/>
  <c r="K14" i="18"/>
  <c r="O14" i="18" s="1"/>
  <c r="V13" i="18"/>
  <c r="K13" i="18"/>
  <c r="O13" i="18" s="1"/>
  <c r="V12" i="18"/>
  <c r="N12" i="18" s="1"/>
  <c r="K12" i="18"/>
  <c r="O12" i="18" s="1"/>
  <c r="G36" i="18"/>
  <c r="N36" i="21" l="1"/>
  <c r="L47" i="21" s="1"/>
  <c r="N36" i="20"/>
  <c r="L47" i="20" s="1"/>
  <c r="N36" i="19"/>
  <c r="L47" i="19" s="1"/>
  <c r="O36" i="19"/>
  <c r="K82" i="18"/>
  <c r="L93" i="18" s="1"/>
  <c r="V36" i="18"/>
  <c r="I41" i="18"/>
  <c r="O36" i="18"/>
  <c r="L82" i="18"/>
  <c r="N13" i="18"/>
  <c r="N36" i="18" s="1"/>
  <c r="L47" i="18" s="1"/>
  <c r="U82" i="18"/>
  <c r="W82" i="17"/>
  <c r="W86" i="17" s="1"/>
  <c r="V82" i="17"/>
  <c r="T82" i="17"/>
  <c r="S82" i="17"/>
  <c r="R82" i="17"/>
  <c r="Q82" i="17"/>
  <c r="P82" i="17"/>
  <c r="O82" i="17"/>
  <c r="N82" i="17"/>
  <c r="M82" i="17"/>
  <c r="G82" i="17"/>
  <c r="F82" i="17"/>
  <c r="I87" i="17" s="1"/>
  <c r="E82" i="17"/>
  <c r="D82" i="17"/>
  <c r="C82" i="17"/>
  <c r="B82" i="17"/>
  <c r="U81" i="17"/>
  <c r="K81" i="17" s="1"/>
  <c r="H81" i="17"/>
  <c r="L81" i="17" s="1"/>
  <c r="U80" i="17"/>
  <c r="K80" i="17" s="1"/>
  <c r="L80" i="17"/>
  <c r="H80" i="17"/>
  <c r="U79" i="17"/>
  <c r="K79" i="17"/>
  <c r="H79" i="17"/>
  <c r="L79" i="17" s="1"/>
  <c r="U78" i="17"/>
  <c r="K78" i="17" s="1"/>
  <c r="L78" i="17"/>
  <c r="H78" i="17"/>
  <c r="U77" i="17"/>
  <c r="K77" i="17" s="1"/>
  <c r="H77" i="17"/>
  <c r="L77" i="17" s="1"/>
  <c r="U76" i="17"/>
  <c r="K76" i="17"/>
  <c r="H76" i="17"/>
  <c r="L76" i="17" s="1"/>
  <c r="U75" i="17"/>
  <c r="K75" i="17" s="1"/>
  <c r="H75" i="17"/>
  <c r="L75" i="17" s="1"/>
  <c r="U74" i="17"/>
  <c r="K74" i="17" s="1"/>
  <c r="L74" i="17"/>
  <c r="H74" i="17"/>
  <c r="U73" i="17"/>
  <c r="K73" i="17"/>
  <c r="H73" i="17"/>
  <c r="L73" i="17" s="1"/>
  <c r="U72" i="17"/>
  <c r="K72" i="17" s="1"/>
  <c r="L72" i="17"/>
  <c r="H72" i="17"/>
  <c r="U71" i="17"/>
  <c r="K71" i="17" s="1"/>
  <c r="H71" i="17"/>
  <c r="L71" i="17" s="1"/>
  <c r="U70" i="17"/>
  <c r="K70" i="17"/>
  <c r="H70" i="17"/>
  <c r="L70" i="17" s="1"/>
  <c r="U69" i="17"/>
  <c r="K69" i="17" s="1"/>
  <c r="H69" i="17"/>
  <c r="L69" i="17" s="1"/>
  <c r="U68" i="17"/>
  <c r="K68" i="17" s="1"/>
  <c r="L68" i="17"/>
  <c r="H68" i="17"/>
  <c r="U67" i="17"/>
  <c r="K67" i="17"/>
  <c r="H67" i="17"/>
  <c r="L67" i="17" s="1"/>
  <c r="U66" i="17"/>
  <c r="K66" i="17" s="1"/>
  <c r="L66" i="17"/>
  <c r="H66" i="17"/>
  <c r="U65" i="17"/>
  <c r="K65" i="17" s="1"/>
  <c r="H65" i="17"/>
  <c r="L65" i="17" s="1"/>
  <c r="U64" i="17"/>
  <c r="K64" i="17"/>
  <c r="H64" i="17"/>
  <c r="L64" i="17" s="1"/>
  <c r="U63" i="17"/>
  <c r="K63" i="17" s="1"/>
  <c r="H63" i="17"/>
  <c r="L63" i="17" s="1"/>
  <c r="U62" i="17"/>
  <c r="K62" i="17" s="1"/>
  <c r="L62" i="17"/>
  <c r="H62" i="17"/>
  <c r="U61" i="17"/>
  <c r="K61" i="17"/>
  <c r="H61" i="17"/>
  <c r="L61" i="17" s="1"/>
  <c r="U60" i="17"/>
  <c r="K60" i="17" s="1"/>
  <c r="L60" i="17"/>
  <c r="H60" i="17"/>
  <c r="U59" i="17"/>
  <c r="K59" i="17" s="1"/>
  <c r="H59" i="17"/>
  <c r="L59" i="17" s="1"/>
  <c r="U58" i="17"/>
  <c r="K58" i="17" s="1"/>
  <c r="H58" i="17"/>
  <c r="L52" i="17"/>
  <c r="G52" i="17"/>
  <c r="D52" i="17"/>
  <c r="B52" i="17"/>
  <c r="X40" i="17"/>
  <c r="W36" i="17"/>
  <c r="U36" i="17"/>
  <c r="T36" i="17"/>
  <c r="S36" i="17"/>
  <c r="R36" i="17"/>
  <c r="Q36" i="17"/>
  <c r="P36" i="17"/>
  <c r="J36" i="17"/>
  <c r="I36" i="17"/>
  <c r="H36" i="17"/>
  <c r="F36" i="17"/>
  <c r="E36" i="17"/>
  <c r="D36" i="17"/>
  <c r="C36" i="17"/>
  <c r="B36" i="17"/>
  <c r="V35" i="17"/>
  <c r="G35" i="17"/>
  <c r="K35" i="17" s="1"/>
  <c r="O35" i="17" s="1"/>
  <c r="V34" i="17"/>
  <c r="G34" i="17"/>
  <c r="V33" i="17"/>
  <c r="G33" i="17"/>
  <c r="K33" i="17" s="1"/>
  <c r="O33" i="17" s="1"/>
  <c r="V32" i="17"/>
  <c r="N32" i="17" s="1"/>
  <c r="K32" i="17"/>
  <c r="O32" i="17" s="1"/>
  <c r="G32" i="17"/>
  <c r="V31" i="17"/>
  <c r="N31" i="17" s="1"/>
  <c r="G31" i="17"/>
  <c r="K31" i="17" s="1"/>
  <c r="O31" i="17" s="1"/>
  <c r="V30" i="17"/>
  <c r="G30" i="17"/>
  <c r="K30" i="17" s="1"/>
  <c r="O30" i="17" s="1"/>
  <c r="V29" i="17"/>
  <c r="N29" i="17" s="1"/>
  <c r="G29" i="17"/>
  <c r="K29" i="17" s="1"/>
  <c r="O29" i="17" s="1"/>
  <c r="V28" i="17"/>
  <c r="G28" i="17"/>
  <c r="V27" i="17"/>
  <c r="G27" i="17"/>
  <c r="K27" i="17" s="1"/>
  <c r="O27" i="17" s="1"/>
  <c r="V26" i="17"/>
  <c r="N26" i="17" s="1"/>
  <c r="K26" i="17"/>
  <c r="O26" i="17" s="1"/>
  <c r="G26" i="17"/>
  <c r="V25" i="17"/>
  <c r="G25" i="17"/>
  <c r="K25" i="17" s="1"/>
  <c r="O25" i="17" s="1"/>
  <c r="V24" i="17"/>
  <c r="N24" i="17" s="1"/>
  <c r="K24" i="17"/>
  <c r="O24" i="17" s="1"/>
  <c r="G24" i="17"/>
  <c r="V23" i="17"/>
  <c r="G23" i="17"/>
  <c r="K23" i="17" s="1"/>
  <c r="O23" i="17" s="1"/>
  <c r="V22" i="17"/>
  <c r="G22" i="17"/>
  <c r="K22" i="17" s="1"/>
  <c r="O22" i="17" s="1"/>
  <c r="V21" i="17"/>
  <c r="N21" i="17" s="1"/>
  <c r="K21" i="17"/>
  <c r="O21" i="17" s="1"/>
  <c r="G21" i="17"/>
  <c r="V20" i="17"/>
  <c r="G20" i="17"/>
  <c r="K20" i="17" s="1"/>
  <c r="O20" i="17" s="1"/>
  <c r="V19" i="17"/>
  <c r="N19" i="17"/>
  <c r="K19" i="17"/>
  <c r="O19" i="17" s="1"/>
  <c r="G19" i="17"/>
  <c r="V18" i="17"/>
  <c r="G18" i="17"/>
  <c r="K18" i="17" s="1"/>
  <c r="O18" i="17" s="1"/>
  <c r="V17" i="17"/>
  <c r="K17" i="17"/>
  <c r="O17" i="17" s="1"/>
  <c r="G17" i="17"/>
  <c r="V16" i="17"/>
  <c r="G16" i="17"/>
  <c r="K16" i="17" s="1"/>
  <c r="O16" i="17" s="1"/>
  <c r="V15" i="17"/>
  <c r="N15" i="17" s="1"/>
  <c r="K15" i="17"/>
  <c r="O15" i="17" s="1"/>
  <c r="G15" i="17"/>
  <c r="V14" i="17"/>
  <c r="G14" i="17"/>
  <c r="K14" i="17" s="1"/>
  <c r="O14" i="17" s="1"/>
  <c r="V13" i="17"/>
  <c r="N13" i="17" s="1"/>
  <c r="K13" i="17"/>
  <c r="O13" i="17" s="1"/>
  <c r="G13" i="17"/>
  <c r="V12" i="17"/>
  <c r="G12" i="17"/>
  <c r="K12" i="17" s="1"/>
  <c r="O12" i="17" s="1"/>
  <c r="X40" i="16"/>
  <c r="N28" i="17" l="1"/>
  <c r="N34" i="17"/>
  <c r="K82" i="17"/>
  <c r="L93" i="17" s="1"/>
  <c r="N23" i="17"/>
  <c r="N12" i="17"/>
  <c r="N30" i="17"/>
  <c r="N35" i="17"/>
  <c r="N16" i="17"/>
  <c r="N18" i="17"/>
  <c r="N25" i="17"/>
  <c r="N22" i="17"/>
  <c r="I41" i="17"/>
  <c r="N20" i="17"/>
  <c r="N14" i="17"/>
  <c r="N27" i="17"/>
  <c r="N33" i="17"/>
  <c r="G36" i="17"/>
  <c r="N17" i="17"/>
  <c r="L82" i="17"/>
  <c r="U82" i="17"/>
  <c r="V36" i="17"/>
  <c r="K28" i="17"/>
  <c r="O28" i="17" s="1"/>
  <c r="K34" i="17"/>
  <c r="O34" i="17" s="1"/>
  <c r="W82" i="16"/>
  <c r="W86" i="16" s="1"/>
  <c r="V82" i="16"/>
  <c r="T82" i="16"/>
  <c r="S82" i="16"/>
  <c r="R82" i="16"/>
  <c r="Q82" i="16"/>
  <c r="P82" i="16"/>
  <c r="O82" i="16"/>
  <c r="N82" i="16"/>
  <c r="M82" i="16"/>
  <c r="G82" i="16"/>
  <c r="F82" i="16"/>
  <c r="I87" i="16" s="1"/>
  <c r="E82" i="16"/>
  <c r="D82" i="16"/>
  <c r="C82" i="16"/>
  <c r="B82" i="16"/>
  <c r="U81" i="16"/>
  <c r="L81" i="16"/>
  <c r="K81" i="16"/>
  <c r="H81" i="16"/>
  <c r="U80" i="16"/>
  <c r="K80" i="16" s="1"/>
  <c r="L80" i="16"/>
  <c r="H80" i="16"/>
  <c r="U79" i="16"/>
  <c r="K79" i="16" s="1"/>
  <c r="H79" i="16"/>
  <c r="L79" i="16" s="1"/>
  <c r="U78" i="16"/>
  <c r="L78" i="16"/>
  <c r="K78" i="16"/>
  <c r="H78" i="16"/>
  <c r="U77" i="16"/>
  <c r="K77" i="16" s="1"/>
  <c r="H77" i="16"/>
  <c r="L77" i="16" s="1"/>
  <c r="U76" i="16"/>
  <c r="K76" i="16" s="1"/>
  <c r="H76" i="16"/>
  <c r="L76" i="16" s="1"/>
  <c r="U75" i="16"/>
  <c r="L75" i="16"/>
  <c r="K75" i="16"/>
  <c r="H75" i="16"/>
  <c r="U74" i="16"/>
  <c r="K74" i="16" s="1"/>
  <c r="H74" i="16"/>
  <c r="L74" i="16" s="1"/>
  <c r="U73" i="16"/>
  <c r="K73" i="16" s="1"/>
  <c r="H73" i="16"/>
  <c r="L73" i="16" s="1"/>
  <c r="U72" i="16"/>
  <c r="L72" i="16"/>
  <c r="K72" i="16"/>
  <c r="H72" i="16"/>
  <c r="U71" i="16"/>
  <c r="K71" i="16" s="1"/>
  <c r="H71" i="16"/>
  <c r="L71" i="16" s="1"/>
  <c r="U70" i="16"/>
  <c r="K70" i="16" s="1"/>
  <c r="H70" i="16"/>
  <c r="L70" i="16" s="1"/>
  <c r="U69" i="16"/>
  <c r="L69" i="16"/>
  <c r="K69" i="16"/>
  <c r="H69" i="16"/>
  <c r="U68" i="16"/>
  <c r="K68" i="16" s="1"/>
  <c r="H68" i="16"/>
  <c r="L68" i="16" s="1"/>
  <c r="U67" i="16"/>
  <c r="K67" i="16" s="1"/>
  <c r="H67" i="16"/>
  <c r="L67" i="16" s="1"/>
  <c r="U66" i="16"/>
  <c r="L66" i="16"/>
  <c r="K66" i="16"/>
  <c r="H66" i="16"/>
  <c r="U65" i="16"/>
  <c r="K65" i="16" s="1"/>
  <c r="H65" i="16"/>
  <c r="L65" i="16" s="1"/>
  <c r="U64" i="16"/>
  <c r="K64" i="16" s="1"/>
  <c r="H64" i="16"/>
  <c r="L64" i="16" s="1"/>
  <c r="U63" i="16"/>
  <c r="L63" i="16"/>
  <c r="K63" i="16"/>
  <c r="H63" i="16"/>
  <c r="U62" i="16"/>
  <c r="K62" i="16" s="1"/>
  <c r="H62" i="16"/>
  <c r="L62" i="16" s="1"/>
  <c r="U61" i="16"/>
  <c r="K61" i="16" s="1"/>
  <c r="H61" i="16"/>
  <c r="L61" i="16" s="1"/>
  <c r="U60" i="16"/>
  <c r="L60" i="16"/>
  <c r="K60" i="16"/>
  <c r="H60" i="16"/>
  <c r="U59" i="16"/>
  <c r="K59" i="16" s="1"/>
  <c r="H59" i="16"/>
  <c r="L59" i="16" s="1"/>
  <c r="U58" i="16"/>
  <c r="K58" i="16" s="1"/>
  <c r="H58" i="16"/>
  <c r="L52" i="16"/>
  <c r="G52" i="16"/>
  <c r="D52" i="16"/>
  <c r="B52" i="16"/>
  <c r="W36" i="16"/>
  <c r="U36" i="16"/>
  <c r="T36" i="16"/>
  <c r="S36" i="16"/>
  <c r="R36" i="16"/>
  <c r="Q36" i="16"/>
  <c r="P36" i="16"/>
  <c r="J36" i="16"/>
  <c r="I36" i="16"/>
  <c r="H36" i="16"/>
  <c r="F36" i="16"/>
  <c r="E36" i="16"/>
  <c r="D36" i="16"/>
  <c r="C36" i="16"/>
  <c r="B36" i="16"/>
  <c r="V35" i="16"/>
  <c r="N35" i="16" s="1"/>
  <c r="G35" i="16"/>
  <c r="K35" i="16" s="1"/>
  <c r="O35" i="16" s="1"/>
  <c r="V34" i="16"/>
  <c r="K34" i="16"/>
  <c r="O34" i="16" s="1"/>
  <c r="G34" i="16"/>
  <c r="V33" i="16"/>
  <c r="G33" i="16"/>
  <c r="N33" i="16" s="1"/>
  <c r="V32" i="16"/>
  <c r="K32" i="16"/>
  <c r="O32" i="16" s="1"/>
  <c r="G32" i="16"/>
  <c r="V31" i="16"/>
  <c r="G31" i="16"/>
  <c r="K31" i="16" s="1"/>
  <c r="O31" i="16" s="1"/>
  <c r="V30" i="16"/>
  <c r="K30" i="16"/>
  <c r="O30" i="16" s="1"/>
  <c r="G30" i="16"/>
  <c r="V29" i="16"/>
  <c r="G29" i="16"/>
  <c r="K29" i="16" s="1"/>
  <c r="O29" i="16" s="1"/>
  <c r="V28" i="16"/>
  <c r="G28" i="16"/>
  <c r="K28" i="16" s="1"/>
  <c r="O28" i="16" s="1"/>
  <c r="V27" i="16"/>
  <c r="N27" i="16" s="1"/>
  <c r="G27" i="16"/>
  <c r="K27" i="16" s="1"/>
  <c r="O27" i="16" s="1"/>
  <c r="V26" i="16"/>
  <c r="G26" i="16"/>
  <c r="K26" i="16" s="1"/>
  <c r="O26" i="16" s="1"/>
  <c r="V25" i="16"/>
  <c r="G25" i="16"/>
  <c r="V24" i="16"/>
  <c r="G24" i="16"/>
  <c r="K24" i="16" s="1"/>
  <c r="O24" i="16" s="1"/>
  <c r="V23" i="16"/>
  <c r="G23" i="16"/>
  <c r="K23" i="16" s="1"/>
  <c r="O23" i="16" s="1"/>
  <c r="V22" i="16"/>
  <c r="N22" i="16" s="1"/>
  <c r="G22" i="16"/>
  <c r="K22" i="16" s="1"/>
  <c r="O22" i="16" s="1"/>
  <c r="V21" i="16"/>
  <c r="G21" i="16"/>
  <c r="K21" i="16" s="1"/>
  <c r="O21" i="16" s="1"/>
  <c r="V20" i="16"/>
  <c r="G20" i="16"/>
  <c r="K20" i="16" s="1"/>
  <c r="O20" i="16" s="1"/>
  <c r="V19" i="16"/>
  <c r="G19" i="16"/>
  <c r="V18" i="16"/>
  <c r="G18" i="16"/>
  <c r="K18" i="16" s="1"/>
  <c r="O18" i="16" s="1"/>
  <c r="V17" i="16"/>
  <c r="G17" i="16"/>
  <c r="K17" i="16" s="1"/>
  <c r="O17" i="16" s="1"/>
  <c r="V16" i="16"/>
  <c r="G16" i="16"/>
  <c r="K16" i="16" s="1"/>
  <c r="O16" i="16" s="1"/>
  <c r="V15" i="16"/>
  <c r="G15" i="16"/>
  <c r="V14" i="16"/>
  <c r="G14" i="16"/>
  <c r="K14" i="16" s="1"/>
  <c r="O14" i="16" s="1"/>
  <c r="V13" i="16"/>
  <c r="G13" i="16"/>
  <c r="V12" i="16"/>
  <c r="K12" i="16"/>
  <c r="O12" i="16" s="1"/>
  <c r="G12" i="16"/>
  <c r="W82" i="15"/>
  <c r="W86" i="15" s="1"/>
  <c r="V82" i="15"/>
  <c r="T82" i="15"/>
  <c r="S82" i="15"/>
  <c r="R82" i="15"/>
  <c r="Q82" i="15"/>
  <c r="P82" i="15"/>
  <c r="O82" i="15"/>
  <c r="N82" i="15"/>
  <c r="M82" i="15"/>
  <c r="G82" i="15"/>
  <c r="F82" i="15"/>
  <c r="I87" i="15" s="1"/>
  <c r="E82" i="15"/>
  <c r="D82" i="15"/>
  <c r="C82" i="15"/>
  <c r="B82" i="15"/>
  <c r="U81" i="15"/>
  <c r="K81" i="15"/>
  <c r="H81" i="15"/>
  <c r="L81" i="15" s="1"/>
  <c r="U80" i="15"/>
  <c r="K80" i="15" s="1"/>
  <c r="L80" i="15"/>
  <c r="H80" i="15"/>
  <c r="U79" i="15"/>
  <c r="K79" i="15" s="1"/>
  <c r="H79" i="15"/>
  <c r="L79" i="15" s="1"/>
  <c r="U78" i="15"/>
  <c r="K78" i="15"/>
  <c r="H78" i="15"/>
  <c r="L78" i="15" s="1"/>
  <c r="U77" i="15"/>
  <c r="K77" i="15" s="1"/>
  <c r="L77" i="15"/>
  <c r="H77" i="15"/>
  <c r="U76" i="15"/>
  <c r="K76" i="15" s="1"/>
  <c r="H76" i="15"/>
  <c r="L76" i="15" s="1"/>
  <c r="U75" i="15"/>
  <c r="K75" i="15"/>
  <c r="H75" i="15"/>
  <c r="L75" i="15" s="1"/>
  <c r="U74" i="15"/>
  <c r="K74" i="15" s="1"/>
  <c r="L74" i="15"/>
  <c r="H74" i="15"/>
  <c r="U73" i="15"/>
  <c r="K73" i="15" s="1"/>
  <c r="H73" i="15"/>
  <c r="L73" i="15" s="1"/>
  <c r="U72" i="15"/>
  <c r="K72" i="15"/>
  <c r="H72" i="15"/>
  <c r="L72" i="15" s="1"/>
  <c r="U71" i="15"/>
  <c r="K71" i="15" s="1"/>
  <c r="L71" i="15"/>
  <c r="H71" i="15"/>
  <c r="U70" i="15"/>
  <c r="K70" i="15" s="1"/>
  <c r="H70" i="15"/>
  <c r="L70" i="15" s="1"/>
  <c r="U69" i="15"/>
  <c r="K69" i="15"/>
  <c r="H69" i="15"/>
  <c r="L69" i="15" s="1"/>
  <c r="U68" i="15"/>
  <c r="K68" i="15" s="1"/>
  <c r="L68" i="15"/>
  <c r="H68" i="15"/>
  <c r="U67" i="15"/>
  <c r="K67" i="15" s="1"/>
  <c r="H67" i="15"/>
  <c r="L67" i="15" s="1"/>
  <c r="U66" i="15"/>
  <c r="K66" i="15"/>
  <c r="H66" i="15"/>
  <c r="L66" i="15" s="1"/>
  <c r="U65" i="15"/>
  <c r="K65" i="15" s="1"/>
  <c r="L65" i="15"/>
  <c r="H65" i="15"/>
  <c r="U64" i="15"/>
  <c r="K64" i="15" s="1"/>
  <c r="H64" i="15"/>
  <c r="L64" i="15" s="1"/>
  <c r="U63" i="15"/>
  <c r="K63" i="15"/>
  <c r="H63" i="15"/>
  <c r="L63" i="15" s="1"/>
  <c r="U62" i="15"/>
  <c r="K62" i="15" s="1"/>
  <c r="L62" i="15"/>
  <c r="H62" i="15"/>
  <c r="U61" i="15"/>
  <c r="K61" i="15" s="1"/>
  <c r="H61" i="15"/>
  <c r="L61" i="15" s="1"/>
  <c r="U60" i="15"/>
  <c r="K60" i="15"/>
  <c r="H60" i="15"/>
  <c r="L60" i="15" s="1"/>
  <c r="U59" i="15"/>
  <c r="K59" i="15" s="1"/>
  <c r="L59" i="15"/>
  <c r="L82" i="15" s="1"/>
  <c r="H59" i="15"/>
  <c r="U58" i="15"/>
  <c r="K58" i="15" s="1"/>
  <c r="H58" i="15"/>
  <c r="L52" i="15"/>
  <c r="G52" i="15"/>
  <c r="D52" i="15"/>
  <c r="B52" i="15"/>
  <c r="X36" i="15"/>
  <c r="W36" i="15"/>
  <c r="U36" i="15"/>
  <c r="T36" i="15"/>
  <c r="S36" i="15"/>
  <c r="R36" i="15"/>
  <c r="Q36" i="15"/>
  <c r="P36" i="15"/>
  <c r="J36" i="15"/>
  <c r="I36" i="15"/>
  <c r="I41" i="15" s="1"/>
  <c r="H36" i="15"/>
  <c r="F36" i="15"/>
  <c r="E36" i="15"/>
  <c r="D36" i="15"/>
  <c r="C36" i="15"/>
  <c r="B36" i="15"/>
  <c r="V35" i="15"/>
  <c r="G35" i="15"/>
  <c r="K35" i="15" s="1"/>
  <c r="O35" i="15" s="1"/>
  <c r="V34" i="15"/>
  <c r="G34" i="15"/>
  <c r="V33" i="15"/>
  <c r="G33" i="15"/>
  <c r="K33" i="15" s="1"/>
  <c r="O33" i="15" s="1"/>
  <c r="V32" i="15"/>
  <c r="G32" i="15"/>
  <c r="K32" i="15" s="1"/>
  <c r="O32" i="15" s="1"/>
  <c r="V31" i="15"/>
  <c r="K31" i="15"/>
  <c r="O31" i="15" s="1"/>
  <c r="G31" i="15"/>
  <c r="V30" i="15"/>
  <c r="G30" i="15"/>
  <c r="K30" i="15" s="1"/>
  <c r="O30" i="15" s="1"/>
  <c r="V29" i="15"/>
  <c r="G29" i="15"/>
  <c r="V28" i="15"/>
  <c r="G28" i="15"/>
  <c r="V27" i="15"/>
  <c r="G27" i="15"/>
  <c r="K27" i="15" s="1"/>
  <c r="O27" i="15" s="1"/>
  <c r="V26" i="15"/>
  <c r="G26" i="15"/>
  <c r="K26" i="15" s="1"/>
  <c r="O26" i="15" s="1"/>
  <c r="V25" i="15"/>
  <c r="G25" i="15"/>
  <c r="V24" i="15"/>
  <c r="G24" i="15"/>
  <c r="N24" i="15" s="1"/>
  <c r="V23" i="15"/>
  <c r="G23" i="15"/>
  <c r="V22" i="15"/>
  <c r="G22" i="15"/>
  <c r="V21" i="15"/>
  <c r="G21" i="15"/>
  <c r="K21" i="15" s="1"/>
  <c r="O21" i="15" s="1"/>
  <c r="V20" i="15"/>
  <c r="G20" i="15"/>
  <c r="K20" i="15" s="1"/>
  <c r="O20" i="15" s="1"/>
  <c r="V19" i="15"/>
  <c r="G19" i="15"/>
  <c r="K19" i="15" s="1"/>
  <c r="O19" i="15" s="1"/>
  <c r="V18" i="15"/>
  <c r="G18" i="15"/>
  <c r="K18" i="15" s="1"/>
  <c r="O18" i="15" s="1"/>
  <c r="V17" i="15"/>
  <c r="G17" i="15"/>
  <c r="K17" i="15" s="1"/>
  <c r="O17" i="15" s="1"/>
  <c r="V16" i="15"/>
  <c r="G16" i="15"/>
  <c r="V15" i="15"/>
  <c r="G15" i="15"/>
  <c r="K15" i="15" s="1"/>
  <c r="O15" i="15" s="1"/>
  <c r="V14" i="15"/>
  <c r="G14" i="15"/>
  <c r="K14" i="15" s="1"/>
  <c r="O14" i="15" s="1"/>
  <c r="V13" i="15"/>
  <c r="G13" i="15"/>
  <c r="V12" i="15"/>
  <c r="G12" i="15"/>
  <c r="K12" i="15" s="1"/>
  <c r="O12" i="15" s="1"/>
  <c r="W82" i="14"/>
  <c r="W86" i="14" s="1"/>
  <c r="V82" i="14"/>
  <c r="T82" i="14"/>
  <c r="S82" i="14"/>
  <c r="R82" i="14"/>
  <c r="Q82" i="14"/>
  <c r="P82" i="14"/>
  <c r="O82" i="14"/>
  <c r="N82" i="14"/>
  <c r="M82" i="14"/>
  <c r="G82" i="14"/>
  <c r="F82" i="14"/>
  <c r="I87" i="14" s="1"/>
  <c r="E82" i="14"/>
  <c r="D82" i="14"/>
  <c r="C82" i="14"/>
  <c r="B82" i="14"/>
  <c r="U81" i="14"/>
  <c r="K81" i="14"/>
  <c r="H81" i="14"/>
  <c r="L81" i="14" s="1"/>
  <c r="U80" i="14"/>
  <c r="K80" i="14" s="1"/>
  <c r="H80" i="14"/>
  <c r="L80" i="14" s="1"/>
  <c r="U79" i="14"/>
  <c r="K79" i="14"/>
  <c r="H79" i="14"/>
  <c r="L79" i="14" s="1"/>
  <c r="U78" i="14"/>
  <c r="K78" i="14"/>
  <c r="H78" i="14"/>
  <c r="L78" i="14" s="1"/>
  <c r="U77" i="14"/>
  <c r="K77" i="14" s="1"/>
  <c r="H77" i="14"/>
  <c r="L77" i="14" s="1"/>
  <c r="U76" i="14"/>
  <c r="K76" i="14"/>
  <c r="H76" i="14"/>
  <c r="L76" i="14" s="1"/>
  <c r="U75" i="14"/>
  <c r="K75" i="14"/>
  <c r="H75" i="14"/>
  <c r="L75" i="14" s="1"/>
  <c r="U74" i="14"/>
  <c r="K74" i="14" s="1"/>
  <c r="H74" i="14"/>
  <c r="L74" i="14" s="1"/>
  <c r="U73" i="14"/>
  <c r="K73" i="14" s="1"/>
  <c r="H73" i="14"/>
  <c r="L73" i="14" s="1"/>
  <c r="U72" i="14"/>
  <c r="K72" i="14" s="1"/>
  <c r="H72" i="14"/>
  <c r="L72" i="14" s="1"/>
  <c r="U71" i="14"/>
  <c r="K71" i="14" s="1"/>
  <c r="H71" i="14"/>
  <c r="L71" i="14" s="1"/>
  <c r="U70" i="14"/>
  <c r="K70" i="14" s="1"/>
  <c r="H70" i="14"/>
  <c r="L70" i="14" s="1"/>
  <c r="U69" i="14"/>
  <c r="K69" i="14" s="1"/>
  <c r="H69" i="14"/>
  <c r="L69" i="14" s="1"/>
  <c r="U68" i="14"/>
  <c r="K68" i="14" s="1"/>
  <c r="H68" i="14"/>
  <c r="L68" i="14" s="1"/>
  <c r="U67" i="14"/>
  <c r="K67" i="14" s="1"/>
  <c r="H67" i="14"/>
  <c r="L67" i="14" s="1"/>
  <c r="U66" i="14"/>
  <c r="K66" i="14"/>
  <c r="H66" i="14"/>
  <c r="L66" i="14" s="1"/>
  <c r="U65" i="14"/>
  <c r="K65" i="14" s="1"/>
  <c r="L65" i="14"/>
  <c r="H65" i="14"/>
  <c r="U64" i="14"/>
  <c r="K64" i="14" s="1"/>
  <c r="H64" i="14"/>
  <c r="L64" i="14" s="1"/>
  <c r="U63" i="14"/>
  <c r="K63" i="14"/>
  <c r="H63" i="14"/>
  <c r="L63" i="14" s="1"/>
  <c r="U62" i="14"/>
  <c r="K62" i="14" s="1"/>
  <c r="H62" i="14"/>
  <c r="L62" i="14" s="1"/>
  <c r="U61" i="14"/>
  <c r="K61" i="14" s="1"/>
  <c r="H61" i="14"/>
  <c r="L61" i="14" s="1"/>
  <c r="U60" i="14"/>
  <c r="K60" i="14" s="1"/>
  <c r="H60" i="14"/>
  <c r="L60" i="14" s="1"/>
  <c r="U59" i="14"/>
  <c r="K59" i="14" s="1"/>
  <c r="H59" i="14"/>
  <c r="L59" i="14" s="1"/>
  <c r="U58" i="14"/>
  <c r="K58" i="14" s="1"/>
  <c r="H58" i="14"/>
  <c r="L52" i="14"/>
  <c r="G52" i="14"/>
  <c r="D52" i="14"/>
  <c r="B52" i="14"/>
  <c r="I41" i="14"/>
  <c r="X36" i="14"/>
  <c r="W36" i="14"/>
  <c r="U36" i="14"/>
  <c r="T36" i="14"/>
  <c r="S36" i="14"/>
  <c r="R36" i="14"/>
  <c r="Q36" i="14"/>
  <c r="P36" i="14"/>
  <c r="J36" i="14"/>
  <c r="I36" i="14"/>
  <c r="H36" i="14"/>
  <c r="F36" i="14"/>
  <c r="E36" i="14"/>
  <c r="D36" i="14"/>
  <c r="C36" i="14"/>
  <c r="B36" i="14"/>
  <c r="V35" i="14"/>
  <c r="G35" i="14"/>
  <c r="V34" i="14"/>
  <c r="G34" i="14"/>
  <c r="V33" i="14"/>
  <c r="G33" i="14"/>
  <c r="K33" i="14" s="1"/>
  <c r="O33" i="14" s="1"/>
  <c r="V32" i="14"/>
  <c r="G32" i="14"/>
  <c r="K32" i="14" s="1"/>
  <c r="O32" i="14" s="1"/>
  <c r="V31" i="14"/>
  <c r="G31" i="14"/>
  <c r="K31" i="14" s="1"/>
  <c r="O31" i="14" s="1"/>
  <c r="V30" i="14"/>
  <c r="G30" i="14"/>
  <c r="K30" i="14" s="1"/>
  <c r="O30" i="14" s="1"/>
  <c r="V29" i="14"/>
  <c r="G29" i="14"/>
  <c r="V28" i="14"/>
  <c r="G28" i="14"/>
  <c r="K28" i="14" s="1"/>
  <c r="O28" i="14" s="1"/>
  <c r="V27" i="14"/>
  <c r="G27" i="14"/>
  <c r="K27" i="14" s="1"/>
  <c r="O27" i="14" s="1"/>
  <c r="V26" i="14"/>
  <c r="G26" i="14"/>
  <c r="K26" i="14" s="1"/>
  <c r="O26" i="14" s="1"/>
  <c r="V25" i="14"/>
  <c r="G25" i="14"/>
  <c r="V24" i="14"/>
  <c r="G24" i="14"/>
  <c r="K24" i="14" s="1"/>
  <c r="O24" i="14" s="1"/>
  <c r="V23" i="14"/>
  <c r="G23" i="14"/>
  <c r="V22" i="14"/>
  <c r="G22" i="14"/>
  <c r="K22" i="14" s="1"/>
  <c r="O22" i="14" s="1"/>
  <c r="V21" i="14"/>
  <c r="G21" i="14"/>
  <c r="K21" i="14" s="1"/>
  <c r="O21" i="14" s="1"/>
  <c r="V20" i="14"/>
  <c r="G20" i="14"/>
  <c r="K20" i="14" s="1"/>
  <c r="O20" i="14" s="1"/>
  <c r="V19" i="14"/>
  <c r="G19" i="14"/>
  <c r="V18" i="14"/>
  <c r="G18" i="14"/>
  <c r="V17" i="14"/>
  <c r="G17" i="14"/>
  <c r="V16" i="14"/>
  <c r="G16" i="14"/>
  <c r="K16" i="14" s="1"/>
  <c r="O16" i="14" s="1"/>
  <c r="V15" i="14"/>
  <c r="G15" i="14"/>
  <c r="K15" i="14" s="1"/>
  <c r="O15" i="14" s="1"/>
  <c r="V14" i="14"/>
  <c r="G14" i="14"/>
  <c r="K14" i="14" s="1"/>
  <c r="O14" i="14" s="1"/>
  <c r="V13" i="14"/>
  <c r="G13" i="14"/>
  <c r="V12" i="14"/>
  <c r="G12" i="14"/>
  <c r="W86" i="13"/>
  <c r="W82" i="13"/>
  <c r="V82" i="13"/>
  <c r="T82" i="13"/>
  <c r="S82" i="13"/>
  <c r="R82" i="13"/>
  <c r="Q82" i="13"/>
  <c r="P82" i="13"/>
  <c r="O82" i="13"/>
  <c r="N82" i="13"/>
  <c r="M82" i="13"/>
  <c r="G82" i="13"/>
  <c r="F82" i="13"/>
  <c r="I87" i="13" s="1"/>
  <c r="E82" i="13"/>
  <c r="D82" i="13"/>
  <c r="C82" i="13"/>
  <c r="B82" i="13"/>
  <c r="U81" i="13"/>
  <c r="K81" i="13" s="1"/>
  <c r="L81" i="13"/>
  <c r="H81" i="13"/>
  <c r="U80" i="13"/>
  <c r="K80" i="13" s="1"/>
  <c r="H80" i="13"/>
  <c r="L80" i="13" s="1"/>
  <c r="U79" i="13"/>
  <c r="K79" i="13" s="1"/>
  <c r="L79" i="13"/>
  <c r="H79" i="13"/>
  <c r="U78" i="13"/>
  <c r="K78" i="13" s="1"/>
  <c r="H78" i="13"/>
  <c r="L78" i="13" s="1"/>
  <c r="U77" i="13"/>
  <c r="K77" i="13" s="1"/>
  <c r="L77" i="13"/>
  <c r="H77" i="13"/>
  <c r="U76" i="13"/>
  <c r="K76" i="13" s="1"/>
  <c r="H76" i="13"/>
  <c r="L76" i="13" s="1"/>
  <c r="U75" i="13"/>
  <c r="K75" i="13" s="1"/>
  <c r="L75" i="13"/>
  <c r="H75" i="13"/>
  <c r="U74" i="13"/>
  <c r="K74" i="13" s="1"/>
  <c r="H74" i="13"/>
  <c r="L74" i="13" s="1"/>
  <c r="U73" i="13"/>
  <c r="K73" i="13" s="1"/>
  <c r="L73" i="13"/>
  <c r="H73" i="13"/>
  <c r="U72" i="13"/>
  <c r="K72" i="13" s="1"/>
  <c r="H72" i="13"/>
  <c r="L72" i="13" s="1"/>
  <c r="U71" i="13"/>
  <c r="K71" i="13" s="1"/>
  <c r="L71" i="13"/>
  <c r="H71" i="13"/>
  <c r="U70" i="13"/>
  <c r="K70" i="13" s="1"/>
  <c r="H70" i="13"/>
  <c r="L70" i="13" s="1"/>
  <c r="U69" i="13"/>
  <c r="K69" i="13" s="1"/>
  <c r="L69" i="13"/>
  <c r="H69" i="13"/>
  <c r="U68" i="13"/>
  <c r="K68" i="13" s="1"/>
  <c r="H68" i="13"/>
  <c r="L68" i="13" s="1"/>
  <c r="U67" i="13"/>
  <c r="K67" i="13" s="1"/>
  <c r="L67" i="13"/>
  <c r="H67" i="13"/>
  <c r="U66" i="13"/>
  <c r="K66" i="13" s="1"/>
  <c r="H66" i="13"/>
  <c r="L66" i="13" s="1"/>
  <c r="U65" i="13"/>
  <c r="K65" i="13" s="1"/>
  <c r="L65" i="13"/>
  <c r="H65" i="13"/>
  <c r="U64" i="13"/>
  <c r="K64" i="13" s="1"/>
  <c r="H64" i="13"/>
  <c r="L64" i="13" s="1"/>
  <c r="U63" i="13"/>
  <c r="K63" i="13" s="1"/>
  <c r="L63" i="13"/>
  <c r="H63" i="13"/>
  <c r="U62" i="13"/>
  <c r="K62" i="13" s="1"/>
  <c r="H62" i="13"/>
  <c r="L62" i="13" s="1"/>
  <c r="U61" i="13"/>
  <c r="K61" i="13" s="1"/>
  <c r="L61" i="13"/>
  <c r="H61" i="13"/>
  <c r="U60" i="13"/>
  <c r="K60" i="13" s="1"/>
  <c r="H60" i="13"/>
  <c r="L60" i="13" s="1"/>
  <c r="U59" i="13"/>
  <c r="K59" i="13" s="1"/>
  <c r="L59" i="13"/>
  <c r="H59" i="13"/>
  <c r="U58" i="13"/>
  <c r="K58" i="13" s="1"/>
  <c r="H58" i="13"/>
  <c r="L52" i="13"/>
  <c r="G52" i="13"/>
  <c r="D52" i="13"/>
  <c r="B52" i="13"/>
  <c r="X36" i="13"/>
  <c r="W36" i="13"/>
  <c r="U36" i="13"/>
  <c r="T36" i="13"/>
  <c r="S36" i="13"/>
  <c r="R36" i="13"/>
  <c r="Q36" i="13"/>
  <c r="P36" i="13"/>
  <c r="J36" i="13"/>
  <c r="I36" i="13"/>
  <c r="I41" i="13" s="1"/>
  <c r="H36" i="13"/>
  <c r="F36" i="13"/>
  <c r="E36" i="13"/>
  <c r="D36" i="13"/>
  <c r="C36" i="13"/>
  <c r="B36" i="13"/>
  <c r="V35" i="13"/>
  <c r="G35" i="13"/>
  <c r="K35" i="13" s="1"/>
  <c r="O35" i="13" s="1"/>
  <c r="V34" i="13"/>
  <c r="G34" i="13"/>
  <c r="N34" i="13" s="1"/>
  <c r="V33" i="13"/>
  <c r="G33" i="13"/>
  <c r="K33" i="13" s="1"/>
  <c r="O33" i="13" s="1"/>
  <c r="V32" i="13"/>
  <c r="G32" i="13"/>
  <c r="K32" i="13" s="1"/>
  <c r="O32" i="13" s="1"/>
  <c r="V31" i="13"/>
  <c r="G31" i="13"/>
  <c r="N31" i="13" s="1"/>
  <c r="V30" i="13"/>
  <c r="G30" i="13"/>
  <c r="K30" i="13" s="1"/>
  <c r="O30" i="13" s="1"/>
  <c r="V29" i="13"/>
  <c r="G29" i="13"/>
  <c r="K29" i="13" s="1"/>
  <c r="O29" i="13" s="1"/>
  <c r="V28" i="13"/>
  <c r="G28" i="13"/>
  <c r="K28" i="13" s="1"/>
  <c r="O28" i="13" s="1"/>
  <c r="V27" i="13"/>
  <c r="G27" i="13"/>
  <c r="K27" i="13" s="1"/>
  <c r="O27" i="13" s="1"/>
  <c r="V26" i="13"/>
  <c r="G26" i="13"/>
  <c r="N26" i="13" s="1"/>
  <c r="V25" i="13"/>
  <c r="G25" i="13"/>
  <c r="N25" i="13" s="1"/>
  <c r="V24" i="13"/>
  <c r="G24" i="13"/>
  <c r="K24" i="13" s="1"/>
  <c r="O24" i="13" s="1"/>
  <c r="V23" i="13"/>
  <c r="G23" i="13"/>
  <c r="K23" i="13" s="1"/>
  <c r="O23" i="13" s="1"/>
  <c r="V22" i="13"/>
  <c r="G22" i="13"/>
  <c r="N22" i="13" s="1"/>
  <c r="V21" i="13"/>
  <c r="G21" i="13"/>
  <c r="K21" i="13" s="1"/>
  <c r="O21" i="13" s="1"/>
  <c r="V20" i="13"/>
  <c r="G20" i="13"/>
  <c r="K20" i="13" s="1"/>
  <c r="O20" i="13" s="1"/>
  <c r="V19" i="13"/>
  <c r="G19" i="13"/>
  <c r="K19" i="13" s="1"/>
  <c r="O19" i="13" s="1"/>
  <c r="V18" i="13"/>
  <c r="G18" i="13"/>
  <c r="K18" i="13" s="1"/>
  <c r="O18" i="13" s="1"/>
  <c r="V17" i="13"/>
  <c r="G17" i="13"/>
  <c r="N17" i="13" s="1"/>
  <c r="V16" i="13"/>
  <c r="G16" i="13"/>
  <c r="K16" i="13" s="1"/>
  <c r="O16" i="13" s="1"/>
  <c r="V15" i="13"/>
  <c r="G15" i="13"/>
  <c r="K15" i="13" s="1"/>
  <c r="O15" i="13" s="1"/>
  <c r="V14" i="13"/>
  <c r="G14" i="13"/>
  <c r="N14" i="13" s="1"/>
  <c r="V13" i="13"/>
  <c r="G13" i="13"/>
  <c r="K13" i="13" s="1"/>
  <c r="O13" i="13" s="1"/>
  <c r="V12" i="13"/>
  <c r="N12" i="13" s="1"/>
  <c r="G12" i="13"/>
  <c r="W86" i="12"/>
  <c r="W82" i="12"/>
  <c r="V82" i="12"/>
  <c r="T82" i="12"/>
  <c r="S82" i="12"/>
  <c r="R82" i="12"/>
  <c r="Q82" i="12"/>
  <c r="P82" i="12"/>
  <c r="O82" i="12"/>
  <c r="N82" i="12"/>
  <c r="M82" i="12"/>
  <c r="G82" i="12"/>
  <c r="F82" i="12"/>
  <c r="I87" i="12" s="1"/>
  <c r="E82" i="12"/>
  <c r="D82" i="12"/>
  <c r="C82" i="12"/>
  <c r="B82" i="12"/>
  <c r="U81" i="12"/>
  <c r="K81" i="12"/>
  <c r="H81" i="12"/>
  <c r="L81" i="12" s="1"/>
  <c r="U80" i="12"/>
  <c r="K80" i="12" s="1"/>
  <c r="H80" i="12"/>
  <c r="L80" i="12" s="1"/>
  <c r="U79" i="12"/>
  <c r="K79" i="12" s="1"/>
  <c r="H79" i="12"/>
  <c r="L79" i="12" s="1"/>
  <c r="U78" i="12"/>
  <c r="K78" i="12"/>
  <c r="H78" i="12"/>
  <c r="L78" i="12" s="1"/>
  <c r="U77" i="12"/>
  <c r="K77" i="12" s="1"/>
  <c r="H77" i="12"/>
  <c r="L77" i="12" s="1"/>
  <c r="U76" i="12"/>
  <c r="K76" i="12" s="1"/>
  <c r="H76" i="12"/>
  <c r="L76" i="12" s="1"/>
  <c r="U75" i="12"/>
  <c r="K75" i="12"/>
  <c r="H75" i="12"/>
  <c r="L75" i="12" s="1"/>
  <c r="U74" i="12"/>
  <c r="K74" i="12" s="1"/>
  <c r="H74" i="12"/>
  <c r="L74" i="12" s="1"/>
  <c r="U73" i="12"/>
  <c r="K73" i="12" s="1"/>
  <c r="H73" i="12"/>
  <c r="L73" i="12" s="1"/>
  <c r="U72" i="12"/>
  <c r="K72" i="12"/>
  <c r="H72" i="12"/>
  <c r="L72" i="12" s="1"/>
  <c r="U71" i="12"/>
  <c r="K71" i="12" s="1"/>
  <c r="H71" i="12"/>
  <c r="L71" i="12" s="1"/>
  <c r="U70" i="12"/>
  <c r="K70" i="12" s="1"/>
  <c r="L70" i="12"/>
  <c r="H70" i="12"/>
  <c r="U69" i="12"/>
  <c r="K69" i="12"/>
  <c r="H69" i="12"/>
  <c r="L69" i="12" s="1"/>
  <c r="U68" i="12"/>
  <c r="K68" i="12" s="1"/>
  <c r="H68" i="12"/>
  <c r="L68" i="12" s="1"/>
  <c r="U67" i="12"/>
  <c r="K67" i="12" s="1"/>
  <c r="H67" i="12"/>
  <c r="L67" i="12" s="1"/>
  <c r="U66" i="12"/>
  <c r="K66" i="12"/>
  <c r="H66" i="12"/>
  <c r="L66" i="12" s="1"/>
  <c r="U65" i="12"/>
  <c r="K65" i="12" s="1"/>
  <c r="H65" i="12"/>
  <c r="L65" i="12" s="1"/>
  <c r="U64" i="12"/>
  <c r="K64" i="12" s="1"/>
  <c r="H64" i="12"/>
  <c r="L64" i="12" s="1"/>
  <c r="U63" i="12"/>
  <c r="K63" i="12"/>
  <c r="H63" i="12"/>
  <c r="L63" i="12" s="1"/>
  <c r="U62" i="12"/>
  <c r="K62" i="12" s="1"/>
  <c r="H62" i="12"/>
  <c r="L62" i="12" s="1"/>
  <c r="U61" i="12"/>
  <c r="K61" i="12" s="1"/>
  <c r="L61" i="12"/>
  <c r="H61" i="12"/>
  <c r="U60" i="12"/>
  <c r="K60" i="12"/>
  <c r="H60" i="12"/>
  <c r="L60" i="12" s="1"/>
  <c r="U59" i="12"/>
  <c r="K59" i="12" s="1"/>
  <c r="H59" i="12"/>
  <c r="L59" i="12" s="1"/>
  <c r="U58" i="12"/>
  <c r="U82" i="12" s="1"/>
  <c r="K58" i="12"/>
  <c r="K82" i="12" s="1"/>
  <c r="L93" i="12" s="1"/>
  <c r="H58" i="12"/>
  <c r="L52" i="12"/>
  <c r="G52" i="12"/>
  <c r="D52" i="12"/>
  <c r="B52" i="12"/>
  <c r="X36" i="12"/>
  <c r="W36" i="12"/>
  <c r="U36" i="12"/>
  <c r="T36" i="12"/>
  <c r="S36" i="12"/>
  <c r="R36" i="12"/>
  <c r="Q36" i="12"/>
  <c r="P36" i="12"/>
  <c r="J36" i="12"/>
  <c r="I36" i="12"/>
  <c r="I41" i="12" s="1"/>
  <c r="H36" i="12"/>
  <c r="F36" i="12"/>
  <c r="E36" i="12"/>
  <c r="D36" i="12"/>
  <c r="C36" i="12"/>
  <c r="B36" i="12"/>
  <c r="V35" i="12"/>
  <c r="G35" i="12"/>
  <c r="K35" i="12" s="1"/>
  <c r="O35" i="12" s="1"/>
  <c r="V34" i="12"/>
  <c r="G34" i="12"/>
  <c r="V33" i="12"/>
  <c r="G33" i="12"/>
  <c r="K33" i="12" s="1"/>
  <c r="O33" i="12" s="1"/>
  <c r="V32" i="12"/>
  <c r="G32" i="12"/>
  <c r="K32" i="12" s="1"/>
  <c r="O32" i="12" s="1"/>
  <c r="V31" i="12"/>
  <c r="G31" i="12"/>
  <c r="K31" i="12" s="1"/>
  <c r="O31" i="12" s="1"/>
  <c r="V30" i="12"/>
  <c r="G30" i="12"/>
  <c r="K30" i="12" s="1"/>
  <c r="O30" i="12" s="1"/>
  <c r="V29" i="12"/>
  <c r="N29" i="12" s="1"/>
  <c r="G29" i="12"/>
  <c r="K29" i="12" s="1"/>
  <c r="O29" i="12" s="1"/>
  <c r="V28" i="12"/>
  <c r="G28" i="12"/>
  <c r="K28" i="12" s="1"/>
  <c r="O28" i="12" s="1"/>
  <c r="V27" i="12"/>
  <c r="G27" i="12"/>
  <c r="K27" i="12" s="1"/>
  <c r="O27" i="12" s="1"/>
  <c r="V26" i="12"/>
  <c r="N26" i="12" s="1"/>
  <c r="G26" i="12"/>
  <c r="K26" i="12" s="1"/>
  <c r="O26" i="12" s="1"/>
  <c r="V25" i="12"/>
  <c r="N25" i="12" s="1"/>
  <c r="G25" i="12"/>
  <c r="K25" i="12" s="1"/>
  <c r="O25" i="12" s="1"/>
  <c r="V24" i="12"/>
  <c r="N24" i="12" s="1"/>
  <c r="K24" i="12"/>
  <c r="O24" i="12" s="1"/>
  <c r="G24" i="12"/>
  <c r="V23" i="12"/>
  <c r="G23" i="12"/>
  <c r="K23" i="12" s="1"/>
  <c r="O23" i="12" s="1"/>
  <c r="V22" i="12"/>
  <c r="N22" i="12"/>
  <c r="G22" i="12"/>
  <c r="K22" i="12" s="1"/>
  <c r="O22" i="12" s="1"/>
  <c r="V21" i="12"/>
  <c r="G21" i="12"/>
  <c r="K21" i="12" s="1"/>
  <c r="O21" i="12" s="1"/>
  <c r="V20" i="12"/>
  <c r="G20" i="12"/>
  <c r="K20" i="12" s="1"/>
  <c r="O20" i="12" s="1"/>
  <c r="V19" i="12"/>
  <c r="G19" i="12"/>
  <c r="K19" i="12" s="1"/>
  <c r="O19" i="12" s="1"/>
  <c r="V18" i="12"/>
  <c r="G18" i="12"/>
  <c r="K18" i="12" s="1"/>
  <c r="O18" i="12" s="1"/>
  <c r="V17" i="12"/>
  <c r="N17" i="12" s="1"/>
  <c r="G17" i="12"/>
  <c r="K17" i="12" s="1"/>
  <c r="O17" i="12" s="1"/>
  <c r="V16" i="12"/>
  <c r="N16" i="12" s="1"/>
  <c r="G16" i="12"/>
  <c r="K16" i="12" s="1"/>
  <c r="O16" i="12" s="1"/>
  <c r="V15" i="12"/>
  <c r="N15" i="12" s="1"/>
  <c r="G15" i="12"/>
  <c r="K15" i="12" s="1"/>
  <c r="O15" i="12" s="1"/>
  <c r="V14" i="12"/>
  <c r="N14" i="12" s="1"/>
  <c r="G14" i="12"/>
  <c r="K14" i="12" s="1"/>
  <c r="O14" i="12" s="1"/>
  <c r="V13" i="12"/>
  <c r="N13" i="12" s="1"/>
  <c r="G13" i="12"/>
  <c r="K13" i="12" s="1"/>
  <c r="O13" i="12" s="1"/>
  <c r="V12" i="12"/>
  <c r="G12" i="12"/>
  <c r="K12" i="12" s="1"/>
  <c r="O12" i="12" s="1"/>
  <c r="W82" i="11"/>
  <c r="W86" i="11" s="1"/>
  <c r="V82" i="11"/>
  <c r="T82" i="11"/>
  <c r="S82" i="11"/>
  <c r="R82" i="11"/>
  <c r="Q82" i="11"/>
  <c r="P82" i="11"/>
  <c r="O82" i="11"/>
  <c r="N82" i="11"/>
  <c r="M82" i="11"/>
  <c r="G82" i="11"/>
  <c r="F82" i="11"/>
  <c r="I87" i="11" s="1"/>
  <c r="E82" i="11"/>
  <c r="D82" i="11"/>
  <c r="C82" i="11"/>
  <c r="B82" i="11"/>
  <c r="U81" i="11"/>
  <c r="K81" i="11" s="1"/>
  <c r="H81" i="11"/>
  <c r="L81" i="11" s="1"/>
  <c r="U80" i="11"/>
  <c r="K80" i="11" s="1"/>
  <c r="H80" i="11"/>
  <c r="L80" i="11" s="1"/>
  <c r="U79" i="11"/>
  <c r="K79" i="11" s="1"/>
  <c r="H79" i="11"/>
  <c r="L79" i="11" s="1"/>
  <c r="U78" i="11"/>
  <c r="K78" i="11" s="1"/>
  <c r="H78" i="11"/>
  <c r="L78" i="11" s="1"/>
  <c r="U77" i="11"/>
  <c r="K77" i="11" s="1"/>
  <c r="H77" i="11"/>
  <c r="L77" i="11" s="1"/>
  <c r="U76" i="11"/>
  <c r="K76" i="11" s="1"/>
  <c r="H76" i="11"/>
  <c r="L76" i="11" s="1"/>
  <c r="U75" i="11"/>
  <c r="K75" i="11" s="1"/>
  <c r="H75" i="11"/>
  <c r="L75" i="11" s="1"/>
  <c r="U74" i="11"/>
  <c r="K74" i="11"/>
  <c r="H74" i="11"/>
  <c r="L74" i="11" s="1"/>
  <c r="U73" i="11"/>
  <c r="K73" i="11" s="1"/>
  <c r="H73" i="11"/>
  <c r="L73" i="11" s="1"/>
  <c r="U72" i="11"/>
  <c r="K72" i="11" s="1"/>
  <c r="H72" i="11"/>
  <c r="L72" i="11" s="1"/>
  <c r="U71" i="11"/>
  <c r="K71" i="11"/>
  <c r="H71" i="11"/>
  <c r="L71" i="11" s="1"/>
  <c r="U70" i="11"/>
  <c r="K70" i="11" s="1"/>
  <c r="H70" i="11"/>
  <c r="L70" i="11" s="1"/>
  <c r="U69" i="11"/>
  <c r="K69" i="11" s="1"/>
  <c r="H69" i="11"/>
  <c r="L69" i="11" s="1"/>
  <c r="U68" i="11"/>
  <c r="K68" i="11" s="1"/>
  <c r="H68" i="11"/>
  <c r="L68" i="11" s="1"/>
  <c r="U67" i="11"/>
  <c r="K67" i="11" s="1"/>
  <c r="H67" i="11"/>
  <c r="L67" i="11" s="1"/>
  <c r="U66" i="11"/>
  <c r="K66" i="11" s="1"/>
  <c r="H66" i="11"/>
  <c r="L66" i="11" s="1"/>
  <c r="U65" i="11"/>
  <c r="K65" i="11" s="1"/>
  <c r="H65" i="11"/>
  <c r="L65" i="11" s="1"/>
  <c r="U64" i="11"/>
  <c r="K64" i="11" s="1"/>
  <c r="H64" i="11"/>
  <c r="L64" i="11" s="1"/>
  <c r="U63" i="11"/>
  <c r="K63" i="11" s="1"/>
  <c r="H63" i="11"/>
  <c r="L63" i="11" s="1"/>
  <c r="U62" i="11"/>
  <c r="K62" i="11" s="1"/>
  <c r="H62" i="11"/>
  <c r="L62" i="11" s="1"/>
  <c r="U61" i="11"/>
  <c r="K61" i="11" s="1"/>
  <c r="H61" i="11"/>
  <c r="L61" i="11" s="1"/>
  <c r="U60" i="11"/>
  <c r="K60" i="11" s="1"/>
  <c r="H60" i="11"/>
  <c r="L60" i="11" s="1"/>
  <c r="U59" i="11"/>
  <c r="K59" i="11"/>
  <c r="H59" i="11"/>
  <c r="L59" i="11" s="1"/>
  <c r="U58" i="11"/>
  <c r="K58" i="11" s="1"/>
  <c r="H58" i="11"/>
  <c r="L52" i="11"/>
  <c r="G52" i="11"/>
  <c r="D52" i="11"/>
  <c r="B52" i="11"/>
  <c r="X36" i="11"/>
  <c r="W36" i="11"/>
  <c r="U36" i="11"/>
  <c r="T36" i="11"/>
  <c r="S36" i="11"/>
  <c r="R36" i="11"/>
  <c r="Q36" i="11"/>
  <c r="P36" i="11"/>
  <c r="J36" i="11"/>
  <c r="I36" i="11"/>
  <c r="H36" i="11"/>
  <c r="I41" i="11" s="1"/>
  <c r="F36" i="11"/>
  <c r="E36" i="11"/>
  <c r="D36" i="11"/>
  <c r="C36" i="11"/>
  <c r="B36" i="11"/>
  <c r="V35" i="11"/>
  <c r="G35" i="11"/>
  <c r="K35" i="11" s="1"/>
  <c r="O35" i="11" s="1"/>
  <c r="V34" i="11"/>
  <c r="G34" i="11"/>
  <c r="K34" i="11" s="1"/>
  <c r="O34" i="11" s="1"/>
  <c r="V33" i="11"/>
  <c r="G33" i="11"/>
  <c r="K33" i="11" s="1"/>
  <c r="O33" i="11" s="1"/>
  <c r="V32" i="11"/>
  <c r="K32" i="11"/>
  <c r="O32" i="11" s="1"/>
  <c r="G32" i="11"/>
  <c r="V31" i="11"/>
  <c r="G31" i="11"/>
  <c r="N31" i="11" s="1"/>
  <c r="V30" i="11"/>
  <c r="G30" i="11"/>
  <c r="K30" i="11" s="1"/>
  <c r="O30" i="11" s="1"/>
  <c r="V29" i="11"/>
  <c r="G29" i="11"/>
  <c r="K29" i="11" s="1"/>
  <c r="O29" i="11" s="1"/>
  <c r="V28" i="11"/>
  <c r="G28" i="11"/>
  <c r="K28" i="11" s="1"/>
  <c r="O28" i="11" s="1"/>
  <c r="V27" i="11"/>
  <c r="K27" i="11"/>
  <c r="O27" i="11" s="1"/>
  <c r="G27" i="11"/>
  <c r="N27" i="11" s="1"/>
  <c r="V26" i="11"/>
  <c r="G26" i="11"/>
  <c r="V25" i="11"/>
  <c r="G25" i="11"/>
  <c r="V24" i="11"/>
  <c r="N24" i="11" s="1"/>
  <c r="G24" i="11"/>
  <c r="K24" i="11" s="1"/>
  <c r="O24" i="11" s="1"/>
  <c r="V23" i="11"/>
  <c r="G23" i="11"/>
  <c r="K23" i="11" s="1"/>
  <c r="O23" i="11" s="1"/>
  <c r="V22" i="11"/>
  <c r="G22" i="11"/>
  <c r="K22" i="11" s="1"/>
  <c r="O22" i="11" s="1"/>
  <c r="V21" i="11"/>
  <c r="G21" i="11"/>
  <c r="N21" i="11" s="1"/>
  <c r="V20" i="11"/>
  <c r="G20" i="11"/>
  <c r="V19" i="11"/>
  <c r="G19" i="11"/>
  <c r="V18" i="11"/>
  <c r="G18" i="11"/>
  <c r="K18" i="11" s="1"/>
  <c r="O18" i="11" s="1"/>
  <c r="V17" i="11"/>
  <c r="G17" i="11"/>
  <c r="K17" i="11" s="1"/>
  <c r="O17" i="11" s="1"/>
  <c r="V16" i="11"/>
  <c r="N16" i="11"/>
  <c r="G16" i="11"/>
  <c r="K16" i="11" s="1"/>
  <c r="O16" i="11" s="1"/>
  <c r="V15" i="11"/>
  <c r="G15" i="11"/>
  <c r="K15" i="11" s="1"/>
  <c r="O15" i="11" s="1"/>
  <c r="V14" i="11"/>
  <c r="K14" i="11"/>
  <c r="O14" i="11" s="1"/>
  <c r="G14" i="11"/>
  <c r="V13" i="11"/>
  <c r="G13" i="11"/>
  <c r="V12" i="11"/>
  <c r="G12" i="11"/>
  <c r="K12" i="11" s="1"/>
  <c r="O12" i="11" s="1"/>
  <c r="V19" i="10"/>
  <c r="V18" i="10"/>
  <c r="W82" i="10"/>
  <c r="W86" i="10" s="1"/>
  <c r="V82" i="10"/>
  <c r="T82" i="10"/>
  <c r="S82" i="10"/>
  <c r="R82" i="10"/>
  <c r="Q82" i="10"/>
  <c r="P82" i="10"/>
  <c r="O82" i="10"/>
  <c r="N82" i="10"/>
  <c r="M82" i="10"/>
  <c r="G82" i="10"/>
  <c r="F82" i="10"/>
  <c r="I87" i="10" s="1"/>
  <c r="E82" i="10"/>
  <c r="D82" i="10"/>
  <c r="C82" i="10"/>
  <c r="B82" i="10"/>
  <c r="U81" i="10"/>
  <c r="K81" i="10"/>
  <c r="H81" i="10"/>
  <c r="L81" i="10" s="1"/>
  <c r="U80" i="10"/>
  <c r="K80" i="10" s="1"/>
  <c r="H80" i="10"/>
  <c r="L80" i="10" s="1"/>
  <c r="U79" i="10"/>
  <c r="K79" i="10" s="1"/>
  <c r="H79" i="10"/>
  <c r="L79" i="10" s="1"/>
  <c r="U78" i="10"/>
  <c r="K78" i="10" s="1"/>
  <c r="H78" i="10"/>
  <c r="L78" i="10" s="1"/>
  <c r="U77" i="10"/>
  <c r="K77" i="10" s="1"/>
  <c r="H77" i="10"/>
  <c r="L77" i="10" s="1"/>
  <c r="U76" i="10"/>
  <c r="K76" i="10" s="1"/>
  <c r="H76" i="10"/>
  <c r="L76" i="10" s="1"/>
  <c r="U75" i="10"/>
  <c r="K75" i="10" s="1"/>
  <c r="H75" i="10"/>
  <c r="L75" i="10" s="1"/>
  <c r="U74" i="10"/>
  <c r="K74" i="10" s="1"/>
  <c r="H74" i="10"/>
  <c r="L74" i="10" s="1"/>
  <c r="U73" i="10"/>
  <c r="K73" i="10" s="1"/>
  <c r="H73" i="10"/>
  <c r="L73" i="10" s="1"/>
  <c r="U72" i="10"/>
  <c r="K72" i="10" s="1"/>
  <c r="H72" i="10"/>
  <c r="L72" i="10" s="1"/>
  <c r="U71" i="10"/>
  <c r="K71" i="10" s="1"/>
  <c r="H71" i="10"/>
  <c r="L71" i="10" s="1"/>
  <c r="U70" i="10"/>
  <c r="K70" i="10" s="1"/>
  <c r="H70" i="10"/>
  <c r="L70" i="10" s="1"/>
  <c r="U69" i="10"/>
  <c r="K69" i="10" s="1"/>
  <c r="H69" i="10"/>
  <c r="L69" i="10" s="1"/>
  <c r="U68" i="10"/>
  <c r="K68" i="10" s="1"/>
  <c r="H68" i="10"/>
  <c r="L68" i="10" s="1"/>
  <c r="U67" i="10"/>
  <c r="K67" i="10" s="1"/>
  <c r="H67" i="10"/>
  <c r="L67" i="10" s="1"/>
  <c r="U66" i="10"/>
  <c r="K66" i="10"/>
  <c r="H66" i="10"/>
  <c r="L66" i="10" s="1"/>
  <c r="U65" i="10"/>
  <c r="K65" i="10" s="1"/>
  <c r="H65" i="10"/>
  <c r="L65" i="10" s="1"/>
  <c r="U64" i="10"/>
  <c r="K64" i="10" s="1"/>
  <c r="H64" i="10"/>
  <c r="L64" i="10" s="1"/>
  <c r="U63" i="10"/>
  <c r="K63" i="10" s="1"/>
  <c r="H63" i="10"/>
  <c r="L63" i="10" s="1"/>
  <c r="U62" i="10"/>
  <c r="K62" i="10" s="1"/>
  <c r="H62" i="10"/>
  <c r="L62" i="10" s="1"/>
  <c r="U61" i="10"/>
  <c r="K61" i="10" s="1"/>
  <c r="H61" i="10"/>
  <c r="L61" i="10" s="1"/>
  <c r="U60" i="10"/>
  <c r="K60" i="10" s="1"/>
  <c r="H60" i="10"/>
  <c r="L60" i="10" s="1"/>
  <c r="U59" i="10"/>
  <c r="K59" i="10" s="1"/>
  <c r="H59" i="10"/>
  <c r="L59" i="10" s="1"/>
  <c r="U58" i="10"/>
  <c r="K58" i="10" s="1"/>
  <c r="H58" i="10"/>
  <c r="L58" i="10" s="1"/>
  <c r="L52" i="10"/>
  <c r="G52" i="10"/>
  <c r="D52" i="10"/>
  <c r="B52" i="10"/>
  <c r="X36" i="10"/>
  <c r="W36" i="10"/>
  <c r="U36" i="10"/>
  <c r="T36" i="10"/>
  <c r="S36" i="10"/>
  <c r="R36" i="10"/>
  <c r="Q36" i="10"/>
  <c r="P36" i="10"/>
  <c r="J36" i="10"/>
  <c r="I36" i="10"/>
  <c r="H36" i="10"/>
  <c r="I41" i="10" s="1"/>
  <c r="F36" i="10"/>
  <c r="E36" i="10"/>
  <c r="D36" i="10"/>
  <c r="C36" i="10"/>
  <c r="B36" i="10"/>
  <c r="V35" i="10"/>
  <c r="G35" i="10"/>
  <c r="K35" i="10" s="1"/>
  <c r="O35" i="10" s="1"/>
  <c r="V34" i="10"/>
  <c r="G34" i="10"/>
  <c r="K34" i="10" s="1"/>
  <c r="O34" i="10" s="1"/>
  <c r="V33" i="10"/>
  <c r="G33" i="10"/>
  <c r="K33" i="10" s="1"/>
  <c r="O33" i="10" s="1"/>
  <c r="V32" i="10"/>
  <c r="G32" i="10"/>
  <c r="V31" i="10"/>
  <c r="G31" i="10"/>
  <c r="V30" i="10"/>
  <c r="G30" i="10"/>
  <c r="V29" i="10"/>
  <c r="G29" i="10"/>
  <c r="K29" i="10" s="1"/>
  <c r="O29" i="10" s="1"/>
  <c r="V28" i="10"/>
  <c r="G28" i="10"/>
  <c r="K28" i="10" s="1"/>
  <c r="O28" i="10" s="1"/>
  <c r="V27" i="10"/>
  <c r="G27" i="10"/>
  <c r="K27" i="10" s="1"/>
  <c r="O27" i="10" s="1"/>
  <c r="V26" i="10"/>
  <c r="G26" i="10"/>
  <c r="V25" i="10"/>
  <c r="G25" i="10"/>
  <c r="V24" i="10"/>
  <c r="G24" i="10"/>
  <c r="V23" i="10"/>
  <c r="G23" i="10"/>
  <c r="K23" i="10" s="1"/>
  <c r="O23" i="10" s="1"/>
  <c r="V22" i="10"/>
  <c r="G22" i="10"/>
  <c r="K22" i="10" s="1"/>
  <c r="O22" i="10" s="1"/>
  <c r="V21" i="10"/>
  <c r="G21" i="10"/>
  <c r="K21" i="10" s="1"/>
  <c r="O21" i="10" s="1"/>
  <c r="V20" i="10"/>
  <c r="G20" i="10"/>
  <c r="G19" i="10"/>
  <c r="G18" i="10"/>
  <c r="V17" i="10"/>
  <c r="G17" i="10"/>
  <c r="K17" i="10" s="1"/>
  <c r="O17" i="10" s="1"/>
  <c r="V16" i="10"/>
  <c r="G16" i="10"/>
  <c r="K16" i="10" s="1"/>
  <c r="O16" i="10" s="1"/>
  <c r="V15" i="10"/>
  <c r="G15" i="10"/>
  <c r="K15" i="10" s="1"/>
  <c r="O15" i="10" s="1"/>
  <c r="V14" i="10"/>
  <c r="G14" i="10"/>
  <c r="V13" i="10"/>
  <c r="G13" i="10"/>
  <c r="V12" i="10"/>
  <c r="G12" i="10"/>
  <c r="N36" i="17" l="1"/>
  <c r="L47" i="17" s="1"/>
  <c r="O36" i="17"/>
  <c r="N24" i="16"/>
  <c r="N30" i="16"/>
  <c r="K33" i="16"/>
  <c r="O33" i="16" s="1"/>
  <c r="N12" i="16"/>
  <c r="N21" i="16"/>
  <c r="N17" i="16"/>
  <c r="N20" i="16"/>
  <c r="N34" i="16"/>
  <c r="N23" i="16"/>
  <c r="N31" i="16"/>
  <c r="N25" i="16"/>
  <c r="N15" i="16"/>
  <c r="N13" i="16"/>
  <c r="N19" i="16"/>
  <c r="I41" i="16"/>
  <c r="N29" i="16"/>
  <c r="N14" i="16"/>
  <c r="N16" i="16"/>
  <c r="N18" i="16"/>
  <c r="K15" i="16"/>
  <c r="O15" i="16" s="1"/>
  <c r="N26" i="16"/>
  <c r="N28" i="16"/>
  <c r="N32" i="16"/>
  <c r="K82" i="16"/>
  <c r="L93" i="16" s="1"/>
  <c r="L82" i="16"/>
  <c r="G36" i="16"/>
  <c r="V36" i="16"/>
  <c r="U82" i="16"/>
  <c r="K13" i="16"/>
  <c r="O13" i="16" s="1"/>
  <c r="K19" i="16"/>
  <c r="O19" i="16" s="1"/>
  <c r="K25" i="16"/>
  <c r="O25" i="16" s="1"/>
  <c r="N14" i="15"/>
  <c r="N19" i="15"/>
  <c r="N15" i="15"/>
  <c r="N26" i="15"/>
  <c r="N18" i="15"/>
  <c r="N27" i="15"/>
  <c r="N32" i="15"/>
  <c r="N29" i="15"/>
  <c r="N30" i="15"/>
  <c r="N23" i="15"/>
  <c r="V36" i="15"/>
  <c r="N13" i="15"/>
  <c r="N16" i="15"/>
  <c r="N12" i="15"/>
  <c r="N22" i="15"/>
  <c r="N25" i="15"/>
  <c r="N28" i="15"/>
  <c r="N31" i="15"/>
  <c r="N34" i="15"/>
  <c r="N20" i="15"/>
  <c r="K25" i="15"/>
  <c r="O25" i="15" s="1"/>
  <c r="N33" i="15"/>
  <c r="K13" i="15"/>
  <c r="O13" i="15" s="1"/>
  <c r="N21" i="15"/>
  <c r="K24" i="15"/>
  <c r="O24" i="15" s="1"/>
  <c r="K34" i="15"/>
  <c r="O34" i="15" s="1"/>
  <c r="G36" i="15"/>
  <c r="K82" i="15"/>
  <c r="L93" i="15" s="1"/>
  <c r="K29" i="15"/>
  <c r="O29" i="15" s="1"/>
  <c r="N17" i="15"/>
  <c r="K22" i="15"/>
  <c r="O22" i="15" s="1"/>
  <c r="K28" i="15"/>
  <c r="O28" i="15" s="1"/>
  <c r="U82" i="15"/>
  <c r="N35" i="15"/>
  <c r="K23" i="15"/>
  <c r="O23" i="15" s="1"/>
  <c r="K16" i="15"/>
  <c r="O16" i="15" s="1"/>
  <c r="L82" i="14"/>
  <c r="N31" i="14"/>
  <c r="V36" i="14"/>
  <c r="N13" i="14"/>
  <c r="N19" i="14"/>
  <c r="N25" i="14"/>
  <c r="N17" i="14"/>
  <c r="N23" i="14"/>
  <c r="N29" i="14"/>
  <c r="N35" i="14"/>
  <c r="N12" i="14"/>
  <c r="N18" i="14"/>
  <c r="N34" i="14"/>
  <c r="K13" i="14"/>
  <c r="O13" i="14" s="1"/>
  <c r="K18" i="14"/>
  <c r="O18" i="14" s="1"/>
  <c r="N14" i="14"/>
  <c r="K17" i="14"/>
  <c r="O17" i="14" s="1"/>
  <c r="N28" i="14"/>
  <c r="N20" i="14"/>
  <c r="N26" i="14"/>
  <c r="N32" i="14"/>
  <c r="N21" i="14"/>
  <c r="N24" i="14"/>
  <c r="K29" i="14"/>
  <c r="O29" i="14" s="1"/>
  <c r="N33" i="14"/>
  <c r="N27" i="14"/>
  <c r="G36" i="14"/>
  <c r="K19" i="14"/>
  <c r="O19" i="14" s="1"/>
  <c r="K23" i="14"/>
  <c r="O23" i="14" s="1"/>
  <c r="K25" i="14"/>
  <c r="O25" i="14" s="1"/>
  <c r="N30" i="14"/>
  <c r="K35" i="14"/>
  <c r="O35" i="14" s="1"/>
  <c r="K12" i="14"/>
  <c r="O12" i="14" s="1"/>
  <c r="N15" i="14"/>
  <c r="K82" i="14"/>
  <c r="L93" i="14" s="1"/>
  <c r="U82" i="14"/>
  <c r="N16" i="14"/>
  <c r="N22" i="14"/>
  <c r="K34" i="14"/>
  <c r="O34" i="14" s="1"/>
  <c r="N13" i="13"/>
  <c r="N28" i="13"/>
  <c r="N21" i="13"/>
  <c r="N18" i="13"/>
  <c r="N27" i="13"/>
  <c r="N30" i="13"/>
  <c r="N16" i="13"/>
  <c r="K22" i="13"/>
  <c r="O22" i="13" s="1"/>
  <c r="K34" i="13"/>
  <c r="O34" i="13" s="1"/>
  <c r="K14" i="13"/>
  <c r="O14" i="13" s="1"/>
  <c r="K26" i="13"/>
  <c r="O26" i="13" s="1"/>
  <c r="N19" i="13"/>
  <c r="N20" i="13"/>
  <c r="N29" i="13"/>
  <c r="G36" i="13"/>
  <c r="N32" i="13"/>
  <c r="N35" i="13"/>
  <c r="N24" i="13"/>
  <c r="N33" i="13"/>
  <c r="K82" i="13"/>
  <c r="L93" i="13" s="1"/>
  <c r="L82" i="13"/>
  <c r="V36" i="13"/>
  <c r="U82" i="13"/>
  <c r="N15" i="13"/>
  <c r="N36" i="13" s="1"/>
  <c r="L47" i="13" s="1"/>
  <c r="K17" i="13"/>
  <c r="O17" i="13" s="1"/>
  <c r="K25" i="13"/>
  <c r="O25" i="13" s="1"/>
  <c r="K12" i="13"/>
  <c r="O12" i="13" s="1"/>
  <c r="N23" i="13"/>
  <c r="K31" i="13"/>
  <c r="O31" i="13" s="1"/>
  <c r="N34" i="12"/>
  <c r="L82" i="12"/>
  <c r="N27" i="12"/>
  <c r="N12" i="12"/>
  <c r="N28" i="12"/>
  <c r="N18" i="12"/>
  <c r="N21" i="12"/>
  <c r="N23" i="12"/>
  <c r="N31" i="12"/>
  <c r="K34" i="12"/>
  <c r="O34" i="12" s="1"/>
  <c r="O36" i="12" s="1"/>
  <c r="N19" i="12"/>
  <c r="N32" i="12"/>
  <c r="N20" i="12"/>
  <c r="N30" i="12"/>
  <c r="N33" i="12"/>
  <c r="N35" i="12"/>
  <c r="G36" i="12"/>
  <c r="V36" i="12"/>
  <c r="N19" i="11"/>
  <c r="N20" i="11"/>
  <c r="N32" i="11"/>
  <c r="N18" i="11"/>
  <c r="N35" i="11"/>
  <c r="N33" i="11"/>
  <c r="N22" i="11"/>
  <c r="K20" i="11"/>
  <c r="O20" i="11" s="1"/>
  <c r="N23" i="11"/>
  <c r="N14" i="11"/>
  <c r="N26" i="11"/>
  <c r="N15" i="11"/>
  <c r="N13" i="11"/>
  <c r="N25" i="11"/>
  <c r="N12" i="11"/>
  <c r="K21" i="11"/>
  <c r="O21" i="11" s="1"/>
  <c r="N29" i="11"/>
  <c r="N17" i="11"/>
  <c r="K26" i="11"/>
  <c r="O26" i="11" s="1"/>
  <c r="N34" i="11"/>
  <c r="N28" i="11"/>
  <c r="N30" i="11"/>
  <c r="L82" i="11"/>
  <c r="K82" i="11"/>
  <c r="L93" i="11" s="1"/>
  <c r="K13" i="11"/>
  <c r="O13" i="11" s="1"/>
  <c r="K19" i="11"/>
  <c r="O19" i="11" s="1"/>
  <c r="K25" i="11"/>
  <c r="O25" i="11" s="1"/>
  <c r="K31" i="11"/>
  <c r="O31" i="11" s="1"/>
  <c r="U82" i="11"/>
  <c r="G36" i="11"/>
  <c r="V36" i="11"/>
  <c r="N32" i="10"/>
  <c r="N18" i="10"/>
  <c r="N24" i="10"/>
  <c r="N30" i="10"/>
  <c r="N26" i="10"/>
  <c r="N25" i="10"/>
  <c r="N20" i="10"/>
  <c r="N14" i="10"/>
  <c r="V36" i="10"/>
  <c r="K26" i="10"/>
  <c r="O26" i="10" s="1"/>
  <c r="N21" i="10"/>
  <c r="N34" i="10"/>
  <c r="N29" i="10"/>
  <c r="K20" i="10"/>
  <c r="O20" i="10" s="1"/>
  <c r="N15" i="10"/>
  <c r="N22" i="10"/>
  <c r="K25" i="10"/>
  <c r="O25" i="10" s="1"/>
  <c r="N13" i="10"/>
  <c r="N31" i="10"/>
  <c r="N19" i="10"/>
  <c r="K13" i="10"/>
  <c r="O13" i="10" s="1"/>
  <c r="N17" i="10"/>
  <c r="N28" i="10"/>
  <c r="K31" i="10"/>
  <c r="O31" i="10" s="1"/>
  <c r="N35" i="10"/>
  <c r="N33" i="10"/>
  <c r="G36" i="10"/>
  <c r="K14" i="10"/>
  <c r="O14" i="10" s="1"/>
  <c r="N27" i="10"/>
  <c r="K32" i="10"/>
  <c r="O32" i="10" s="1"/>
  <c r="K19" i="10"/>
  <c r="O19" i="10" s="1"/>
  <c r="N23" i="10"/>
  <c r="L82" i="10"/>
  <c r="K82" i="10"/>
  <c r="L93" i="10" s="1"/>
  <c r="U82" i="10"/>
  <c r="K12" i="10"/>
  <c r="O12" i="10" s="1"/>
  <c r="K18" i="10"/>
  <c r="O18" i="10" s="1"/>
  <c r="K24" i="10"/>
  <c r="O24" i="10" s="1"/>
  <c r="K30" i="10"/>
  <c r="O30" i="10" s="1"/>
  <c r="N12" i="10"/>
  <c r="N16" i="10"/>
  <c r="O36" i="16" l="1"/>
  <c r="N36" i="16"/>
  <c r="L47" i="16" s="1"/>
  <c r="N36" i="15"/>
  <c r="L47" i="15" s="1"/>
  <c r="O36" i="15"/>
  <c r="N36" i="14"/>
  <c r="L47" i="14" s="1"/>
  <c r="O36" i="14"/>
  <c r="O36" i="13"/>
  <c r="N36" i="12"/>
  <c r="L47" i="12" s="1"/>
  <c r="N36" i="11"/>
  <c r="L47" i="11" s="1"/>
  <c r="O36" i="11"/>
  <c r="N36" i="10"/>
  <c r="L47" i="10" s="1"/>
  <c r="O36" i="10"/>
  <c r="T82" i="9" l="1"/>
  <c r="S82" i="9"/>
  <c r="R82" i="9"/>
  <c r="Q82" i="9"/>
  <c r="P82" i="9"/>
  <c r="O82" i="9"/>
  <c r="N82" i="9"/>
  <c r="M82" i="9"/>
  <c r="G82" i="9"/>
  <c r="F82" i="9"/>
  <c r="I87" i="9" s="1"/>
  <c r="E82" i="9"/>
  <c r="D82" i="9"/>
  <c r="C82" i="9"/>
  <c r="B82" i="9"/>
  <c r="U81" i="9"/>
  <c r="K81" i="9" s="1"/>
  <c r="H81" i="9"/>
  <c r="L81" i="9" s="1"/>
  <c r="U80" i="9"/>
  <c r="K80" i="9" s="1"/>
  <c r="H80" i="9"/>
  <c r="L80" i="9" s="1"/>
  <c r="U79" i="9"/>
  <c r="K79" i="9" s="1"/>
  <c r="H79" i="9"/>
  <c r="L79" i="9" s="1"/>
  <c r="U78" i="9"/>
  <c r="K78" i="9" s="1"/>
  <c r="H78" i="9"/>
  <c r="L78" i="9" s="1"/>
  <c r="U77" i="9"/>
  <c r="K77" i="9"/>
  <c r="H77" i="9"/>
  <c r="L77" i="9" s="1"/>
  <c r="V82" i="9"/>
  <c r="U76" i="9"/>
  <c r="K76" i="9"/>
  <c r="H76" i="9"/>
  <c r="L76" i="9" s="1"/>
  <c r="U75" i="9"/>
  <c r="K75" i="9"/>
  <c r="H75" i="9"/>
  <c r="L75" i="9" s="1"/>
  <c r="U74" i="9"/>
  <c r="K74" i="9" s="1"/>
  <c r="H74" i="9"/>
  <c r="L74" i="9" s="1"/>
  <c r="U73" i="9"/>
  <c r="K73" i="9" s="1"/>
  <c r="H73" i="9"/>
  <c r="L73" i="9" s="1"/>
  <c r="U72" i="9"/>
  <c r="K72" i="9" s="1"/>
  <c r="H72" i="9"/>
  <c r="L72" i="9" s="1"/>
  <c r="U71" i="9"/>
  <c r="K71" i="9"/>
  <c r="H71" i="9"/>
  <c r="L71" i="9" s="1"/>
  <c r="U70" i="9"/>
  <c r="K70" i="9" s="1"/>
  <c r="H70" i="9"/>
  <c r="L70" i="9" s="1"/>
  <c r="U69" i="9"/>
  <c r="K69" i="9" s="1"/>
  <c r="H69" i="9"/>
  <c r="L69" i="9" s="1"/>
  <c r="U68" i="9"/>
  <c r="K68" i="9"/>
  <c r="H68" i="9"/>
  <c r="L68" i="9" s="1"/>
  <c r="U67" i="9"/>
  <c r="K67" i="9" s="1"/>
  <c r="H67" i="9"/>
  <c r="L67" i="9" s="1"/>
  <c r="U66" i="9"/>
  <c r="K66" i="9"/>
  <c r="H66" i="9"/>
  <c r="L66" i="9" s="1"/>
  <c r="U65" i="9"/>
  <c r="K65" i="9" s="1"/>
  <c r="H65" i="9"/>
  <c r="L65" i="9" s="1"/>
  <c r="U64" i="9"/>
  <c r="K64" i="9" s="1"/>
  <c r="H64" i="9"/>
  <c r="L64" i="9" s="1"/>
  <c r="U63" i="9"/>
  <c r="K63" i="9" s="1"/>
  <c r="H63" i="9"/>
  <c r="L63" i="9" s="1"/>
  <c r="U62" i="9"/>
  <c r="K62" i="9" s="1"/>
  <c r="H62" i="9"/>
  <c r="L62" i="9" s="1"/>
  <c r="U61" i="9"/>
  <c r="K61" i="9" s="1"/>
  <c r="H61" i="9"/>
  <c r="L61" i="9" s="1"/>
  <c r="W82" i="9"/>
  <c r="W86" i="9" s="1"/>
  <c r="U60" i="9"/>
  <c r="K60" i="9" s="1"/>
  <c r="H60" i="9"/>
  <c r="L60" i="9" s="1"/>
  <c r="U59" i="9"/>
  <c r="K59" i="9" s="1"/>
  <c r="H59" i="9"/>
  <c r="L59" i="9" s="1"/>
  <c r="U58" i="9"/>
  <c r="K58" i="9" s="1"/>
  <c r="H58" i="9"/>
  <c r="L58" i="9" s="1"/>
  <c r="L52" i="9"/>
  <c r="G52" i="9"/>
  <c r="D52" i="9"/>
  <c r="B52" i="9"/>
  <c r="X36" i="9"/>
  <c r="U36" i="9"/>
  <c r="T36" i="9"/>
  <c r="S36" i="9"/>
  <c r="R36" i="9"/>
  <c r="Q36" i="9"/>
  <c r="P36" i="9"/>
  <c r="J36" i="9"/>
  <c r="I36" i="9"/>
  <c r="H36" i="9"/>
  <c r="F36" i="9"/>
  <c r="E36" i="9"/>
  <c r="D36" i="9"/>
  <c r="C36" i="9"/>
  <c r="B36" i="9"/>
  <c r="V35" i="9"/>
  <c r="K35" i="9"/>
  <c r="O35" i="9" s="1"/>
  <c r="G35" i="9"/>
  <c r="V34" i="9"/>
  <c r="G34" i="9"/>
  <c r="V33" i="9"/>
  <c r="G33" i="9"/>
  <c r="K33" i="9" s="1"/>
  <c r="O33" i="9" s="1"/>
  <c r="V32" i="9"/>
  <c r="G32" i="9"/>
  <c r="K32" i="9" s="1"/>
  <c r="O32" i="9" s="1"/>
  <c r="V31" i="9"/>
  <c r="N31" i="9" s="1"/>
  <c r="K31" i="9"/>
  <c r="O31" i="9" s="1"/>
  <c r="G31" i="9"/>
  <c r="V30" i="9"/>
  <c r="K30" i="9"/>
  <c r="O30" i="9" s="1"/>
  <c r="G30" i="9"/>
  <c r="V29" i="9"/>
  <c r="G29" i="9"/>
  <c r="K29" i="9" s="1"/>
  <c r="O29" i="9" s="1"/>
  <c r="V28" i="9"/>
  <c r="K28" i="9"/>
  <c r="O28" i="9" s="1"/>
  <c r="G28" i="9"/>
  <c r="V27" i="9"/>
  <c r="K27" i="9"/>
  <c r="O27" i="9" s="1"/>
  <c r="G27" i="9"/>
  <c r="V26" i="9"/>
  <c r="G26" i="9"/>
  <c r="V25" i="9"/>
  <c r="G25" i="9"/>
  <c r="K25" i="9" s="1"/>
  <c r="O25" i="9" s="1"/>
  <c r="V24" i="9"/>
  <c r="K24" i="9"/>
  <c r="O24" i="9" s="1"/>
  <c r="G24" i="9"/>
  <c r="V23" i="9"/>
  <c r="G23" i="9"/>
  <c r="K23" i="9" s="1"/>
  <c r="O23" i="9" s="1"/>
  <c r="W36" i="9"/>
  <c r="V22" i="9"/>
  <c r="K22" i="9"/>
  <c r="O22" i="9" s="1"/>
  <c r="G22" i="9"/>
  <c r="V21" i="9"/>
  <c r="K21" i="9"/>
  <c r="O21" i="9" s="1"/>
  <c r="G21" i="9"/>
  <c r="V20" i="9"/>
  <c r="G20" i="9"/>
  <c r="K20" i="9" s="1"/>
  <c r="O20" i="9" s="1"/>
  <c r="V19" i="9"/>
  <c r="K19" i="9"/>
  <c r="O19" i="9" s="1"/>
  <c r="G19" i="9"/>
  <c r="V18" i="9"/>
  <c r="K18" i="9"/>
  <c r="O18" i="9" s="1"/>
  <c r="G18" i="9"/>
  <c r="V17" i="9"/>
  <c r="G17" i="9"/>
  <c r="V16" i="9"/>
  <c r="G16" i="9"/>
  <c r="K16" i="9" s="1"/>
  <c r="O16" i="9" s="1"/>
  <c r="V15" i="9"/>
  <c r="G15" i="9"/>
  <c r="V14" i="9"/>
  <c r="K14" i="9"/>
  <c r="O14" i="9" s="1"/>
  <c r="G14" i="9"/>
  <c r="V13" i="9"/>
  <c r="K13" i="9"/>
  <c r="O13" i="9" s="1"/>
  <c r="G13" i="9"/>
  <c r="V12" i="9"/>
  <c r="G12" i="9"/>
  <c r="K12" i="9" s="1"/>
  <c r="O12" i="9" s="1"/>
  <c r="N27" i="9" l="1"/>
  <c r="N21" i="9"/>
  <c r="N17" i="9"/>
  <c r="N13" i="9"/>
  <c r="N25" i="9"/>
  <c r="N14" i="9"/>
  <c r="N24" i="9"/>
  <c r="N18" i="9"/>
  <c r="N23" i="9"/>
  <c r="N35" i="9"/>
  <c r="N33" i="9"/>
  <c r="N22" i="9"/>
  <c r="N30" i="9"/>
  <c r="L82" i="9"/>
  <c r="N29" i="9"/>
  <c r="V36" i="9"/>
  <c r="N20" i="9"/>
  <c r="I41" i="9"/>
  <c r="N15" i="9"/>
  <c r="N16" i="9"/>
  <c r="N26" i="9"/>
  <c r="N28" i="9"/>
  <c r="N34" i="9"/>
  <c r="N19" i="9"/>
  <c r="K82" i="9"/>
  <c r="L93" i="9" s="1"/>
  <c r="K15" i="9"/>
  <c r="O15" i="9" s="1"/>
  <c r="U82" i="9"/>
  <c r="N32" i="9"/>
  <c r="N12" i="9"/>
  <c r="K17" i="9"/>
  <c r="O17" i="9" s="1"/>
  <c r="K26" i="9"/>
  <c r="O26" i="9" s="1"/>
  <c r="K34" i="9"/>
  <c r="O34" i="9" s="1"/>
  <c r="G36" i="9"/>
  <c r="N36" i="9" l="1"/>
  <c r="L47" i="9" s="1"/>
  <c r="O36" i="9"/>
  <c r="W61" i="8" l="1"/>
  <c r="W62" i="8"/>
  <c r="W63" i="8"/>
  <c r="W64" i="8"/>
  <c r="W65" i="8"/>
  <c r="W60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V77" i="8"/>
  <c r="V78" i="8"/>
  <c r="V79" i="8"/>
  <c r="V80" i="8"/>
  <c r="V81" i="8"/>
  <c r="V76" i="8"/>
  <c r="W23" i="8"/>
  <c r="W24" i="8"/>
  <c r="W22" i="8"/>
  <c r="Q36" i="8" l="1"/>
  <c r="W82" i="8" l="1"/>
  <c r="W86" i="8" s="1"/>
  <c r="V82" i="8"/>
  <c r="T82" i="8"/>
  <c r="S82" i="8"/>
  <c r="R82" i="8"/>
  <c r="Q82" i="8"/>
  <c r="P82" i="8"/>
  <c r="O82" i="8"/>
  <c r="N82" i="8"/>
  <c r="M82" i="8"/>
  <c r="G82" i="8"/>
  <c r="F82" i="8"/>
  <c r="I87" i="8" s="1"/>
  <c r="E82" i="8"/>
  <c r="D82" i="8"/>
  <c r="C82" i="8"/>
  <c r="B82" i="8"/>
  <c r="K81" i="8"/>
  <c r="H81" i="8"/>
  <c r="L81" i="8" s="1"/>
  <c r="K80" i="8"/>
  <c r="H80" i="8"/>
  <c r="L80" i="8" s="1"/>
  <c r="K79" i="8"/>
  <c r="H79" i="8"/>
  <c r="L79" i="8" s="1"/>
  <c r="K78" i="8"/>
  <c r="H78" i="8"/>
  <c r="L78" i="8" s="1"/>
  <c r="K77" i="8"/>
  <c r="H77" i="8"/>
  <c r="L77" i="8" s="1"/>
  <c r="K76" i="8"/>
  <c r="H76" i="8"/>
  <c r="L76" i="8" s="1"/>
  <c r="K75" i="8"/>
  <c r="H75" i="8"/>
  <c r="L75" i="8" s="1"/>
  <c r="K74" i="8"/>
  <c r="H74" i="8"/>
  <c r="L74" i="8" s="1"/>
  <c r="K73" i="8"/>
  <c r="H73" i="8"/>
  <c r="L73" i="8" s="1"/>
  <c r="K72" i="8"/>
  <c r="H72" i="8"/>
  <c r="L72" i="8" s="1"/>
  <c r="K71" i="8"/>
  <c r="H71" i="8"/>
  <c r="L71" i="8" s="1"/>
  <c r="K70" i="8"/>
  <c r="H70" i="8"/>
  <c r="L70" i="8" s="1"/>
  <c r="K69" i="8"/>
  <c r="H69" i="8"/>
  <c r="L69" i="8" s="1"/>
  <c r="K68" i="8"/>
  <c r="H68" i="8"/>
  <c r="L68" i="8" s="1"/>
  <c r="K67" i="8"/>
  <c r="H67" i="8"/>
  <c r="L67" i="8" s="1"/>
  <c r="K66" i="8"/>
  <c r="H66" i="8"/>
  <c r="L66" i="8" s="1"/>
  <c r="K65" i="8"/>
  <c r="H65" i="8"/>
  <c r="L65" i="8" s="1"/>
  <c r="K64" i="8"/>
  <c r="H64" i="8"/>
  <c r="L64" i="8" s="1"/>
  <c r="K63" i="8"/>
  <c r="H63" i="8"/>
  <c r="L63" i="8" s="1"/>
  <c r="K62" i="8"/>
  <c r="H62" i="8"/>
  <c r="L62" i="8" s="1"/>
  <c r="K61" i="8"/>
  <c r="H61" i="8"/>
  <c r="L61" i="8" s="1"/>
  <c r="K60" i="8"/>
  <c r="H60" i="8"/>
  <c r="L60" i="8" s="1"/>
  <c r="K59" i="8"/>
  <c r="H59" i="8"/>
  <c r="L59" i="8" s="1"/>
  <c r="K58" i="8"/>
  <c r="H58" i="8"/>
  <c r="L58" i="8" s="1"/>
  <c r="L52" i="8"/>
  <c r="G52" i="8"/>
  <c r="D52" i="8"/>
  <c r="B52" i="8"/>
  <c r="X36" i="8"/>
  <c r="U36" i="8"/>
  <c r="T36" i="8"/>
  <c r="S36" i="8"/>
  <c r="R36" i="8"/>
  <c r="P36" i="8"/>
  <c r="J36" i="8"/>
  <c r="I36" i="8"/>
  <c r="H36" i="8"/>
  <c r="I41" i="8" s="1"/>
  <c r="F36" i="8"/>
  <c r="E36" i="8"/>
  <c r="D36" i="8"/>
  <c r="C36" i="8"/>
  <c r="B36" i="8"/>
  <c r="V35" i="8"/>
  <c r="G35" i="8"/>
  <c r="K35" i="8" s="1"/>
  <c r="O35" i="8" s="1"/>
  <c r="V34" i="8"/>
  <c r="G34" i="8"/>
  <c r="K34" i="8" s="1"/>
  <c r="O34" i="8" s="1"/>
  <c r="V33" i="8"/>
  <c r="N33" i="8" s="1"/>
  <c r="G33" i="8"/>
  <c r="K33" i="8" s="1"/>
  <c r="O33" i="8" s="1"/>
  <c r="V32" i="8"/>
  <c r="G32" i="8"/>
  <c r="K32" i="8" s="1"/>
  <c r="O32" i="8" s="1"/>
  <c r="V31" i="8"/>
  <c r="N31" i="8" s="1"/>
  <c r="G31" i="8"/>
  <c r="K31" i="8" s="1"/>
  <c r="O31" i="8" s="1"/>
  <c r="V30" i="8"/>
  <c r="G30" i="8"/>
  <c r="K30" i="8" s="1"/>
  <c r="O30" i="8" s="1"/>
  <c r="V29" i="8"/>
  <c r="G29" i="8"/>
  <c r="V28" i="8"/>
  <c r="G28" i="8"/>
  <c r="K28" i="8" s="1"/>
  <c r="O28" i="8" s="1"/>
  <c r="V27" i="8"/>
  <c r="G27" i="8"/>
  <c r="K27" i="8" s="1"/>
  <c r="O27" i="8" s="1"/>
  <c r="V26" i="8"/>
  <c r="G26" i="8"/>
  <c r="K26" i="8" s="1"/>
  <c r="O26" i="8" s="1"/>
  <c r="V25" i="8"/>
  <c r="K25" i="8"/>
  <c r="O25" i="8" s="1"/>
  <c r="G25" i="8"/>
  <c r="V24" i="8"/>
  <c r="G24" i="8"/>
  <c r="K24" i="8" s="1"/>
  <c r="O24" i="8" s="1"/>
  <c r="V23" i="8"/>
  <c r="G23" i="8"/>
  <c r="W36" i="8"/>
  <c r="V22" i="8"/>
  <c r="G22" i="8"/>
  <c r="K22" i="8" s="1"/>
  <c r="O22" i="8" s="1"/>
  <c r="V21" i="8"/>
  <c r="G21" i="8"/>
  <c r="K21" i="8" s="1"/>
  <c r="O21" i="8" s="1"/>
  <c r="V20" i="8"/>
  <c r="G20" i="8"/>
  <c r="V19" i="8"/>
  <c r="G19" i="8"/>
  <c r="K19" i="8" s="1"/>
  <c r="O19" i="8" s="1"/>
  <c r="V18" i="8"/>
  <c r="G18" i="8"/>
  <c r="K18" i="8" s="1"/>
  <c r="O18" i="8" s="1"/>
  <c r="V17" i="8"/>
  <c r="G17" i="8"/>
  <c r="K17" i="8" s="1"/>
  <c r="O17" i="8" s="1"/>
  <c r="V16" i="8"/>
  <c r="G16" i="8"/>
  <c r="V15" i="8"/>
  <c r="G15" i="8"/>
  <c r="K15" i="8" s="1"/>
  <c r="O15" i="8" s="1"/>
  <c r="V14" i="8"/>
  <c r="G14" i="8"/>
  <c r="K14" i="8" s="1"/>
  <c r="O14" i="8" s="1"/>
  <c r="V13" i="8"/>
  <c r="G13" i="8"/>
  <c r="K13" i="8" s="1"/>
  <c r="O13" i="8" s="1"/>
  <c r="V12" i="8"/>
  <c r="G12" i="8"/>
  <c r="B36" i="7"/>
  <c r="W23" i="7"/>
  <c r="W24" i="7"/>
  <c r="W22" i="7"/>
  <c r="N23" i="8" l="1"/>
  <c r="N20" i="8"/>
  <c r="N16" i="8"/>
  <c r="K82" i="8"/>
  <c r="L93" i="8" s="1"/>
  <c r="U82" i="8"/>
  <c r="V36" i="8"/>
  <c r="N25" i="8"/>
  <c r="N29" i="8"/>
  <c r="N30" i="8"/>
  <c r="K23" i="8"/>
  <c r="O23" i="8" s="1"/>
  <c r="K29" i="8"/>
  <c r="O29" i="8" s="1"/>
  <c r="N34" i="8"/>
  <c r="N26" i="8"/>
  <c r="N19" i="8"/>
  <c r="N14" i="8"/>
  <c r="K16" i="8"/>
  <c r="O16" i="8" s="1"/>
  <c r="N18" i="8"/>
  <c r="N28" i="8"/>
  <c r="N13" i="8"/>
  <c r="N21" i="8"/>
  <c r="G36" i="8"/>
  <c r="N22" i="8"/>
  <c r="N32" i="8"/>
  <c r="K12" i="8"/>
  <c r="O12" i="8" s="1"/>
  <c r="O36" i="8" s="1"/>
  <c r="K20" i="8"/>
  <c r="O20" i="8" s="1"/>
  <c r="N12" i="8"/>
  <c r="N15" i="8"/>
  <c r="N17" i="8"/>
  <c r="N27" i="8"/>
  <c r="N35" i="8"/>
  <c r="N24" i="8"/>
  <c r="L82" i="8"/>
  <c r="W82" i="7"/>
  <c r="W86" i="7" s="1"/>
  <c r="V82" i="7"/>
  <c r="U82" i="7"/>
  <c r="T82" i="7"/>
  <c r="S82" i="7"/>
  <c r="R82" i="7"/>
  <c r="Q82" i="7"/>
  <c r="P82" i="7"/>
  <c r="O82" i="7"/>
  <c r="N82" i="7"/>
  <c r="M82" i="7"/>
  <c r="G82" i="7"/>
  <c r="F82" i="7"/>
  <c r="I87" i="7" s="1"/>
  <c r="E82" i="7"/>
  <c r="D82" i="7"/>
  <c r="C82" i="7"/>
  <c r="B82" i="7"/>
  <c r="U81" i="7"/>
  <c r="K81" i="7" s="1"/>
  <c r="L81" i="7"/>
  <c r="H81" i="7"/>
  <c r="U80" i="7"/>
  <c r="K80" i="7"/>
  <c r="H80" i="7"/>
  <c r="L80" i="7" s="1"/>
  <c r="U79" i="7"/>
  <c r="K79" i="7" s="1"/>
  <c r="L79" i="7"/>
  <c r="H79" i="7"/>
  <c r="U78" i="7"/>
  <c r="K78" i="7"/>
  <c r="H78" i="7"/>
  <c r="L78" i="7" s="1"/>
  <c r="U77" i="7"/>
  <c r="K77" i="7" s="1"/>
  <c r="L77" i="7"/>
  <c r="H77" i="7"/>
  <c r="U76" i="7"/>
  <c r="K76" i="7"/>
  <c r="H76" i="7"/>
  <c r="L76" i="7" s="1"/>
  <c r="U75" i="7"/>
  <c r="K75" i="7" s="1"/>
  <c r="L75" i="7"/>
  <c r="H75" i="7"/>
  <c r="U74" i="7"/>
  <c r="K74" i="7"/>
  <c r="H74" i="7"/>
  <c r="L74" i="7" s="1"/>
  <c r="U73" i="7"/>
  <c r="K73" i="7" s="1"/>
  <c r="L73" i="7"/>
  <c r="H73" i="7"/>
  <c r="U72" i="7"/>
  <c r="K72" i="7"/>
  <c r="H72" i="7"/>
  <c r="L72" i="7" s="1"/>
  <c r="U71" i="7"/>
  <c r="K71" i="7" s="1"/>
  <c r="L71" i="7"/>
  <c r="H71" i="7"/>
  <c r="U70" i="7"/>
  <c r="K70" i="7"/>
  <c r="H70" i="7"/>
  <c r="L70" i="7" s="1"/>
  <c r="U69" i="7"/>
  <c r="K69" i="7" s="1"/>
  <c r="L69" i="7"/>
  <c r="H69" i="7"/>
  <c r="U68" i="7"/>
  <c r="K68" i="7"/>
  <c r="H68" i="7"/>
  <c r="L68" i="7" s="1"/>
  <c r="U67" i="7"/>
  <c r="K67" i="7" s="1"/>
  <c r="L67" i="7"/>
  <c r="H67" i="7"/>
  <c r="U66" i="7"/>
  <c r="K66" i="7"/>
  <c r="H66" i="7"/>
  <c r="L66" i="7" s="1"/>
  <c r="U65" i="7"/>
  <c r="K65" i="7" s="1"/>
  <c r="L65" i="7"/>
  <c r="H65" i="7"/>
  <c r="U64" i="7"/>
  <c r="K64" i="7"/>
  <c r="H64" i="7"/>
  <c r="L64" i="7" s="1"/>
  <c r="U63" i="7"/>
  <c r="K63" i="7" s="1"/>
  <c r="L63" i="7"/>
  <c r="H63" i="7"/>
  <c r="U62" i="7"/>
  <c r="K62" i="7"/>
  <c r="H62" i="7"/>
  <c r="L62" i="7" s="1"/>
  <c r="U61" i="7"/>
  <c r="K61" i="7" s="1"/>
  <c r="L61" i="7"/>
  <c r="H61" i="7"/>
  <c r="U60" i="7"/>
  <c r="K60" i="7"/>
  <c r="H60" i="7"/>
  <c r="L60" i="7" s="1"/>
  <c r="U59" i="7"/>
  <c r="K59" i="7" s="1"/>
  <c r="L59" i="7"/>
  <c r="H59" i="7"/>
  <c r="U58" i="7"/>
  <c r="K58" i="7"/>
  <c r="H58" i="7"/>
  <c r="L58" i="7" s="1"/>
  <c r="L52" i="7"/>
  <c r="G52" i="7"/>
  <c r="D52" i="7"/>
  <c r="B52" i="7"/>
  <c r="X36" i="7"/>
  <c r="W36" i="7"/>
  <c r="U36" i="7"/>
  <c r="T36" i="7"/>
  <c r="S36" i="7"/>
  <c r="R36" i="7"/>
  <c r="Q36" i="7"/>
  <c r="P36" i="7"/>
  <c r="J36" i="7"/>
  <c r="I36" i="7"/>
  <c r="I41" i="7" s="1"/>
  <c r="H36" i="7"/>
  <c r="F36" i="7"/>
  <c r="E36" i="7"/>
  <c r="D36" i="7"/>
  <c r="C36" i="7"/>
  <c r="V35" i="7"/>
  <c r="G35" i="7"/>
  <c r="K35" i="7" s="1"/>
  <c r="O35" i="7" s="1"/>
  <c r="V34" i="7"/>
  <c r="N34" i="7" s="1"/>
  <c r="K34" i="7"/>
  <c r="O34" i="7" s="1"/>
  <c r="G34" i="7"/>
  <c r="V33" i="7"/>
  <c r="G33" i="7"/>
  <c r="V32" i="7"/>
  <c r="G32" i="7"/>
  <c r="K32" i="7" s="1"/>
  <c r="O32" i="7" s="1"/>
  <c r="V31" i="7"/>
  <c r="G31" i="7"/>
  <c r="V30" i="7"/>
  <c r="G30" i="7"/>
  <c r="K30" i="7" s="1"/>
  <c r="O30" i="7" s="1"/>
  <c r="V29" i="7"/>
  <c r="G29" i="7"/>
  <c r="K29" i="7" s="1"/>
  <c r="O29" i="7" s="1"/>
  <c r="V28" i="7"/>
  <c r="G28" i="7"/>
  <c r="K28" i="7" s="1"/>
  <c r="O28" i="7" s="1"/>
  <c r="V27" i="7"/>
  <c r="G27" i="7"/>
  <c r="K27" i="7" s="1"/>
  <c r="O27" i="7" s="1"/>
  <c r="V26" i="7"/>
  <c r="N26" i="7" s="1"/>
  <c r="G26" i="7"/>
  <c r="K26" i="7" s="1"/>
  <c r="O26" i="7" s="1"/>
  <c r="V25" i="7"/>
  <c r="G25" i="7"/>
  <c r="V24" i="7"/>
  <c r="G24" i="7"/>
  <c r="K24" i="7" s="1"/>
  <c r="O24" i="7" s="1"/>
  <c r="V23" i="7"/>
  <c r="G23" i="7"/>
  <c r="V22" i="7"/>
  <c r="G22" i="7"/>
  <c r="K22" i="7" s="1"/>
  <c r="O22" i="7" s="1"/>
  <c r="V21" i="7"/>
  <c r="G21" i="7"/>
  <c r="K21" i="7" s="1"/>
  <c r="O21" i="7" s="1"/>
  <c r="V20" i="7"/>
  <c r="G20" i="7"/>
  <c r="K20" i="7" s="1"/>
  <c r="O20" i="7" s="1"/>
  <c r="V19" i="7"/>
  <c r="G19" i="7"/>
  <c r="K19" i="7" s="1"/>
  <c r="O19" i="7" s="1"/>
  <c r="V18" i="7"/>
  <c r="G18" i="7"/>
  <c r="K18" i="7" s="1"/>
  <c r="O18" i="7" s="1"/>
  <c r="V17" i="7"/>
  <c r="G17" i="7"/>
  <c r="V16" i="7"/>
  <c r="G16" i="7"/>
  <c r="K16" i="7" s="1"/>
  <c r="O16" i="7" s="1"/>
  <c r="V15" i="7"/>
  <c r="G15" i="7"/>
  <c r="V14" i="7"/>
  <c r="G14" i="7"/>
  <c r="K14" i="7" s="1"/>
  <c r="O14" i="7" s="1"/>
  <c r="V13" i="7"/>
  <c r="G13" i="7"/>
  <c r="K13" i="7" s="1"/>
  <c r="O13" i="7" s="1"/>
  <c r="V12" i="7"/>
  <c r="G12" i="7"/>
  <c r="Q36" i="6"/>
  <c r="R36" i="6"/>
  <c r="S36" i="6"/>
  <c r="T36" i="6"/>
  <c r="U36" i="6"/>
  <c r="P36" i="6"/>
  <c r="N36" i="8" l="1"/>
  <c r="L47" i="8" s="1"/>
  <c r="N33" i="7"/>
  <c r="N21" i="7"/>
  <c r="N18" i="7"/>
  <c r="N29" i="7"/>
  <c r="N31" i="7"/>
  <c r="N25" i="7"/>
  <c r="N23" i="7"/>
  <c r="N15" i="7"/>
  <c r="V36" i="7"/>
  <c r="N12" i="7"/>
  <c r="N13" i="7"/>
  <c r="N17" i="7"/>
  <c r="N16" i="7"/>
  <c r="N19" i="7"/>
  <c r="N24" i="7"/>
  <c r="N27" i="7"/>
  <c r="N32" i="7"/>
  <c r="N35" i="7"/>
  <c r="N14" i="7"/>
  <c r="K17" i="7"/>
  <c r="O17" i="7" s="1"/>
  <c r="N20" i="7"/>
  <c r="N22" i="7"/>
  <c r="K25" i="7"/>
  <c r="O25" i="7" s="1"/>
  <c r="N28" i="7"/>
  <c r="N30" i="7"/>
  <c r="K33" i="7"/>
  <c r="O33" i="7" s="1"/>
  <c r="G36" i="7"/>
  <c r="K82" i="7"/>
  <c r="L93" i="7" s="1"/>
  <c r="L82" i="7"/>
  <c r="K15" i="7"/>
  <c r="O15" i="7" s="1"/>
  <c r="K31" i="7"/>
  <c r="O31" i="7" s="1"/>
  <c r="K23" i="7"/>
  <c r="O23" i="7" s="1"/>
  <c r="K12" i="7"/>
  <c r="O12" i="7" s="1"/>
  <c r="B36" i="5"/>
  <c r="W86" i="6"/>
  <c r="W82" i="6"/>
  <c r="V82" i="6"/>
  <c r="T82" i="6"/>
  <c r="S82" i="6"/>
  <c r="R82" i="6"/>
  <c r="Q82" i="6"/>
  <c r="P82" i="6"/>
  <c r="O82" i="6"/>
  <c r="N82" i="6"/>
  <c r="M82" i="6"/>
  <c r="G82" i="6"/>
  <c r="F82" i="6"/>
  <c r="I87" i="6" s="1"/>
  <c r="E82" i="6"/>
  <c r="D82" i="6"/>
  <c r="C82" i="6"/>
  <c r="B82" i="6"/>
  <c r="U81" i="6"/>
  <c r="K81" i="6" s="1"/>
  <c r="L81" i="6"/>
  <c r="H81" i="6"/>
  <c r="U80" i="6"/>
  <c r="K80" i="6" s="1"/>
  <c r="L80" i="6"/>
  <c r="H80" i="6"/>
  <c r="U79" i="6"/>
  <c r="K79" i="6"/>
  <c r="H79" i="6"/>
  <c r="L79" i="6" s="1"/>
  <c r="U78" i="6"/>
  <c r="K78" i="6" s="1"/>
  <c r="L78" i="6"/>
  <c r="H78" i="6"/>
  <c r="U77" i="6"/>
  <c r="K77" i="6" s="1"/>
  <c r="H77" i="6"/>
  <c r="L77" i="6" s="1"/>
  <c r="U76" i="6"/>
  <c r="K76" i="6"/>
  <c r="H76" i="6"/>
  <c r="L76" i="6" s="1"/>
  <c r="U75" i="6"/>
  <c r="K75" i="6" s="1"/>
  <c r="L75" i="6"/>
  <c r="H75" i="6"/>
  <c r="U74" i="6"/>
  <c r="K74" i="6" s="1"/>
  <c r="H74" i="6"/>
  <c r="L74" i="6" s="1"/>
  <c r="U73" i="6"/>
  <c r="K73" i="6"/>
  <c r="H73" i="6"/>
  <c r="L73" i="6" s="1"/>
  <c r="U72" i="6"/>
  <c r="K72" i="6" s="1"/>
  <c r="L72" i="6"/>
  <c r="H72" i="6"/>
  <c r="U71" i="6"/>
  <c r="K71" i="6" s="1"/>
  <c r="H71" i="6"/>
  <c r="L71" i="6" s="1"/>
  <c r="U70" i="6"/>
  <c r="K70" i="6"/>
  <c r="H70" i="6"/>
  <c r="L70" i="6" s="1"/>
  <c r="U69" i="6"/>
  <c r="K69" i="6" s="1"/>
  <c r="L69" i="6"/>
  <c r="H69" i="6"/>
  <c r="U68" i="6"/>
  <c r="K68" i="6" s="1"/>
  <c r="H68" i="6"/>
  <c r="L68" i="6" s="1"/>
  <c r="U67" i="6"/>
  <c r="K67" i="6"/>
  <c r="H67" i="6"/>
  <c r="L67" i="6" s="1"/>
  <c r="U66" i="6"/>
  <c r="K66" i="6" s="1"/>
  <c r="L66" i="6"/>
  <c r="H66" i="6"/>
  <c r="U65" i="6"/>
  <c r="K65" i="6" s="1"/>
  <c r="H65" i="6"/>
  <c r="L65" i="6" s="1"/>
  <c r="U64" i="6"/>
  <c r="K64" i="6"/>
  <c r="H64" i="6"/>
  <c r="L64" i="6" s="1"/>
  <c r="U63" i="6"/>
  <c r="K63" i="6" s="1"/>
  <c r="L63" i="6"/>
  <c r="H63" i="6"/>
  <c r="U62" i="6"/>
  <c r="K62" i="6" s="1"/>
  <c r="H62" i="6"/>
  <c r="L62" i="6" s="1"/>
  <c r="U61" i="6"/>
  <c r="K61" i="6"/>
  <c r="H61" i="6"/>
  <c r="L61" i="6" s="1"/>
  <c r="U60" i="6"/>
  <c r="K60" i="6" s="1"/>
  <c r="L60" i="6"/>
  <c r="H60" i="6"/>
  <c r="U59" i="6"/>
  <c r="K59" i="6" s="1"/>
  <c r="H59" i="6"/>
  <c r="L59" i="6" s="1"/>
  <c r="U58" i="6"/>
  <c r="U82" i="6" s="1"/>
  <c r="K58" i="6"/>
  <c r="K82" i="6" s="1"/>
  <c r="L93" i="6" s="1"/>
  <c r="H58" i="6"/>
  <c r="L58" i="6" s="1"/>
  <c r="L52" i="6"/>
  <c r="G52" i="6"/>
  <c r="D52" i="6"/>
  <c r="B52" i="6"/>
  <c r="X36" i="6"/>
  <c r="W36" i="6"/>
  <c r="J36" i="6"/>
  <c r="I36" i="6"/>
  <c r="I41" i="6" s="1"/>
  <c r="H36" i="6"/>
  <c r="F36" i="6"/>
  <c r="E36" i="6"/>
  <c r="D36" i="6"/>
  <c r="C36" i="6"/>
  <c r="V35" i="6"/>
  <c r="G35" i="6"/>
  <c r="V34" i="6"/>
  <c r="G34" i="6"/>
  <c r="V33" i="6"/>
  <c r="G33" i="6"/>
  <c r="K33" i="6" s="1"/>
  <c r="O33" i="6" s="1"/>
  <c r="V32" i="6"/>
  <c r="G32" i="6"/>
  <c r="K32" i="6" s="1"/>
  <c r="O32" i="6" s="1"/>
  <c r="V31" i="6"/>
  <c r="G31" i="6"/>
  <c r="K31" i="6" s="1"/>
  <c r="O31" i="6" s="1"/>
  <c r="V30" i="6"/>
  <c r="N30" i="6" s="1"/>
  <c r="G30" i="6"/>
  <c r="K30" i="6" s="1"/>
  <c r="O30" i="6" s="1"/>
  <c r="V29" i="6"/>
  <c r="G29" i="6"/>
  <c r="V28" i="6"/>
  <c r="G28" i="6"/>
  <c r="K28" i="6" s="1"/>
  <c r="O28" i="6" s="1"/>
  <c r="V27" i="6"/>
  <c r="G27" i="6"/>
  <c r="K27" i="6" s="1"/>
  <c r="O27" i="6" s="1"/>
  <c r="V26" i="6"/>
  <c r="G26" i="6"/>
  <c r="K26" i="6" s="1"/>
  <c r="O26" i="6" s="1"/>
  <c r="V25" i="6"/>
  <c r="G25" i="6"/>
  <c r="K25" i="6" s="1"/>
  <c r="O25" i="6" s="1"/>
  <c r="V24" i="6"/>
  <c r="N24" i="6" s="1"/>
  <c r="G24" i="6"/>
  <c r="K24" i="6" s="1"/>
  <c r="O24" i="6" s="1"/>
  <c r="V23" i="6"/>
  <c r="G23" i="6"/>
  <c r="V22" i="6"/>
  <c r="G22" i="6"/>
  <c r="K22" i="6" s="1"/>
  <c r="O22" i="6" s="1"/>
  <c r="V21" i="6"/>
  <c r="G21" i="6"/>
  <c r="K21" i="6" s="1"/>
  <c r="O21" i="6" s="1"/>
  <c r="V20" i="6"/>
  <c r="G20" i="6"/>
  <c r="K20" i="6" s="1"/>
  <c r="O20" i="6" s="1"/>
  <c r="V19" i="6"/>
  <c r="G19" i="6"/>
  <c r="K19" i="6" s="1"/>
  <c r="O19" i="6" s="1"/>
  <c r="V18" i="6"/>
  <c r="G18" i="6"/>
  <c r="K18" i="6" s="1"/>
  <c r="O18" i="6" s="1"/>
  <c r="V17" i="6"/>
  <c r="G17" i="6"/>
  <c r="V16" i="6"/>
  <c r="G16" i="6"/>
  <c r="V15" i="6"/>
  <c r="G15" i="6"/>
  <c r="K15" i="6" s="1"/>
  <c r="O15" i="6" s="1"/>
  <c r="V14" i="6"/>
  <c r="G14" i="6"/>
  <c r="K14" i="6" s="1"/>
  <c r="O14" i="6" s="1"/>
  <c r="V13" i="6"/>
  <c r="G13" i="6"/>
  <c r="K13" i="6" s="1"/>
  <c r="O13" i="6" s="1"/>
  <c r="V12" i="6"/>
  <c r="G12" i="6"/>
  <c r="Q36" i="5"/>
  <c r="R36" i="5"/>
  <c r="S36" i="5"/>
  <c r="T36" i="5"/>
  <c r="U36" i="5"/>
  <c r="P36" i="5"/>
  <c r="W86" i="5"/>
  <c r="W82" i="5"/>
  <c r="V82" i="5"/>
  <c r="T82" i="5"/>
  <c r="S82" i="5"/>
  <c r="R82" i="5"/>
  <c r="Q82" i="5"/>
  <c r="P82" i="5"/>
  <c r="O82" i="5"/>
  <c r="N82" i="5"/>
  <c r="M82" i="5"/>
  <c r="G82" i="5"/>
  <c r="F82" i="5"/>
  <c r="I87" i="5" s="1"/>
  <c r="E82" i="5"/>
  <c r="D82" i="5"/>
  <c r="C82" i="5"/>
  <c r="B82" i="5"/>
  <c r="U81" i="5"/>
  <c r="L81" i="5"/>
  <c r="K81" i="5"/>
  <c r="H81" i="5"/>
  <c r="U80" i="5"/>
  <c r="K80" i="5" s="1"/>
  <c r="L80" i="5"/>
  <c r="H80" i="5"/>
  <c r="U79" i="5"/>
  <c r="L79" i="5"/>
  <c r="K79" i="5"/>
  <c r="H79" i="5"/>
  <c r="U78" i="5"/>
  <c r="K78" i="5" s="1"/>
  <c r="L78" i="5"/>
  <c r="H78" i="5"/>
  <c r="U77" i="5"/>
  <c r="L77" i="5"/>
  <c r="K77" i="5"/>
  <c r="H77" i="5"/>
  <c r="U76" i="5"/>
  <c r="K76" i="5" s="1"/>
  <c r="L76" i="5"/>
  <c r="H76" i="5"/>
  <c r="U75" i="5"/>
  <c r="L75" i="5"/>
  <c r="K75" i="5"/>
  <c r="H75" i="5"/>
  <c r="U74" i="5"/>
  <c r="K74" i="5" s="1"/>
  <c r="L74" i="5"/>
  <c r="H74" i="5"/>
  <c r="U73" i="5"/>
  <c r="L73" i="5"/>
  <c r="K73" i="5"/>
  <c r="H73" i="5"/>
  <c r="U72" i="5"/>
  <c r="K72" i="5" s="1"/>
  <c r="L72" i="5"/>
  <c r="H72" i="5"/>
  <c r="U71" i="5"/>
  <c r="L71" i="5"/>
  <c r="K71" i="5"/>
  <c r="H71" i="5"/>
  <c r="U70" i="5"/>
  <c r="K70" i="5" s="1"/>
  <c r="L70" i="5"/>
  <c r="H70" i="5"/>
  <c r="U69" i="5"/>
  <c r="L69" i="5"/>
  <c r="K69" i="5"/>
  <c r="H69" i="5"/>
  <c r="U68" i="5"/>
  <c r="K68" i="5" s="1"/>
  <c r="L68" i="5"/>
  <c r="H68" i="5"/>
  <c r="U67" i="5"/>
  <c r="L67" i="5"/>
  <c r="K67" i="5"/>
  <c r="H67" i="5"/>
  <c r="U66" i="5"/>
  <c r="K66" i="5" s="1"/>
  <c r="L66" i="5"/>
  <c r="H66" i="5"/>
  <c r="U65" i="5"/>
  <c r="L65" i="5"/>
  <c r="K65" i="5"/>
  <c r="H65" i="5"/>
  <c r="U64" i="5"/>
  <c r="K64" i="5" s="1"/>
  <c r="L64" i="5"/>
  <c r="H64" i="5"/>
  <c r="U63" i="5"/>
  <c r="L63" i="5"/>
  <c r="K63" i="5"/>
  <c r="H63" i="5"/>
  <c r="U62" i="5"/>
  <c r="K62" i="5" s="1"/>
  <c r="L62" i="5"/>
  <c r="H62" i="5"/>
  <c r="U61" i="5"/>
  <c r="L61" i="5"/>
  <c r="K61" i="5"/>
  <c r="H61" i="5"/>
  <c r="U60" i="5"/>
  <c r="K60" i="5" s="1"/>
  <c r="L60" i="5"/>
  <c r="H60" i="5"/>
  <c r="U59" i="5"/>
  <c r="L59" i="5"/>
  <c r="K59" i="5"/>
  <c r="H59" i="5"/>
  <c r="U58" i="5"/>
  <c r="K58" i="5" s="1"/>
  <c r="L58" i="5"/>
  <c r="L82" i="5" s="1"/>
  <c r="H58" i="5"/>
  <c r="L52" i="5"/>
  <c r="G52" i="5"/>
  <c r="D52" i="5"/>
  <c r="B52" i="5"/>
  <c r="I41" i="5"/>
  <c r="X36" i="5"/>
  <c r="W36" i="5"/>
  <c r="J36" i="5"/>
  <c r="I36" i="5"/>
  <c r="H36" i="5"/>
  <c r="F36" i="5"/>
  <c r="E36" i="5"/>
  <c r="D36" i="5"/>
  <c r="C36" i="5"/>
  <c r="V35" i="5"/>
  <c r="G35" i="5"/>
  <c r="V34" i="5"/>
  <c r="G34" i="5"/>
  <c r="K34" i="5" s="1"/>
  <c r="O34" i="5" s="1"/>
  <c r="V33" i="5"/>
  <c r="G33" i="5"/>
  <c r="K33" i="5" s="1"/>
  <c r="O33" i="5" s="1"/>
  <c r="V32" i="5"/>
  <c r="G32" i="5"/>
  <c r="K32" i="5" s="1"/>
  <c r="O32" i="5" s="1"/>
  <c r="V31" i="5"/>
  <c r="G31" i="5"/>
  <c r="V30" i="5"/>
  <c r="G30" i="5"/>
  <c r="K30" i="5" s="1"/>
  <c r="O30" i="5" s="1"/>
  <c r="V29" i="5"/>
  <c r="G29" i="5"/>
  <c r="K29" i="5" s="1"/>
  <c r="O29" i="5" s="1"/>
  <c r="V28" i="5"/>
  <c r="G28" i="5"/>
  <c r="K28" i="5" s="1"/>
  <c r="O28" i="5" s="1"/>
  <c r="V27" i="5"/>
  <c r="G27" i="5"/>
  <c r="V26" i="5"/>
  <c r="G26" i="5"/>
  <c r="V25" i="5"/>
  <c r="G25" i="5"/>
  <c r="K25" i="5" s="1"/>
  <c r="O25" i="5" s="1"/>
  <c r="V24" i="5"/>
  <c r="G24" i="5"/>
  <c r="V23" i="5"/>
  <c r="G23" i="5"/>
  <c r="K23" i="5" s="1"/>
  <c r="O23" i="5" s="1"/>
  <c r="V22" i="5"/>
  <c r="G22" i="5"/>
  <c r="K22" i="5" s="1"/>
  <c r="O22" i="5" s="1"/>
  <c r="V21" i="5"/>
  <c r="G21" i="5"/>
  <c r="K21" i="5" s="1"/>
  <c r="O21" i="5" s="1"/>
  <c r="V20" i="5"/>
  <c r="G20" i="5"/>
  <c r="K20" i="5" s="1"/>
  <c r="O20" i="5" s="1"/>
  <c r="V19" i="5"/>
  <c r="N19" i="5" s="1"/>
  <c r="G19" i="5"/>
  <c r="K19" i="5" s="1"/>
  <c r="O19" i="5" s="1"/>
  <c r="V18" i="5"/>
  <c r="G18" i="5"/>
  <c r="V17" i="5"/>
  <c r="G17" i="5"/>
  <c r="K17" i="5" s="1"/>
  <c r="O17" i="5" s="1"/>
  <c r="V16" i="5"/>
  <c r="K16" i="5"/>
  <c r="O16" i="5" s="1"/>
  <c r="G16" i="5"/>
  <c r="V15" i="5"/>
  <c r="G15" i="5"/>
  <c r="K15" i="5" s="1"/>
  <c r="O15" i="5" s="1"/>
  <c r="V14" i="5"/>
  <c r="G14" i="5"/>
  <c r="K14" i="5" s="1"/>
  <c r="O14" i="5" s="1"/>
  <c r="V13" i="5"/>
  <c r="G13" i="5"/>
  <c r="V12" i="5"/>
  <c r="G12" i="5"/>
  <c r="K12" i="5" s="1"/>
  <c r="O12" i="5" s="1"/>
  <c r="W82" i="4"/>
  <c r="W86" i="4" s="1"/>
  <c r="V82" i="4"/>
  <c r="T82" i="4"/>
  <c r="S82" i="4"/>
  <c r="R82" i="4"/>
  <c r="Q82" i="4"/>
  <c r="P82" i="4"/>
  <c r="O82" i="4"/>
  <c r="N82" i="4"/>
  <c r="M82" i="4"/>
  <c r="G82" i="4"/>
  <c r="F82" i="4"/>
  <c r="I87" i="4" s="1"/>
  <c r="E82" i="4"/>
  <c r="D82" i="4"/>
  <c r="C82" i="4"/>
  <c r="B82" i="4"/>
  <c r="U81" i="4"/>
  <c r="K81" i="4" s="1"/>
  <c r="H81" i="4"/>
  <c r="L81" i="4" s="1"/>
  <c r="U80" i="4"/>
  <c r="K80" i="4" s="1"/>
  <c r="H80" i="4"/>
  <c r="L80" i="4" s="1"/>
  <c r="U79" i="4"/>
  <c r="K79" i="4"/>
  <c r="H79" i="4"/>
  <c r="L79" i="4" s="1"/>
  <c r="U78" i="4"/>
  <c r="K78" i="4" s="1"/>
  <c r="H78" i="4"/>
  <c r="L78" i="4" s="1"/>
  <c r="U77" i="4"/>
  <c r="K77" i="4" s="1"/>
  <c r="H77" i="4"/>
  <c r="L77" i="4" s="1"/>
  <c r="U76" i="4"/>
  <c r="K76" i="4"/>
  <c r="H76" i="4"/>
  <c r="L76" i="4" s="1"/>
  <c r="U75" i="4"/>
  <c r="K75" i="4" s="1"/>
  <c r="H75" i="4"/>
  <c r="L75" i="4" s="1"/>
  <c r="U74" i="4"/>
  <c r="K74" i="4" s="1"/>
  <c r="H74" i="4"/>
  <c r="L74" i="4" s="1"/>
  <c r="U73" i="4"/>
  <c r="K73" i="4"/>
  <c r="H73" i="4"/>
  <c r="L73" i="4" s="1"/>
  <c r="U72" i="4"/>
  <c r="K72" i="4" s="1"/>
  <c r="H72" i="4"/>
  <c r="L72" i="4" s="1"/>
  <c r="U71" i="4"/>
  <c r="K71" i="4" s="1"/>
  <c r="H71" i="4"/>
  <c r="L71" i="4" s="1"/>
  <c r="U70" i="4"/>
  <c r="K70" i="4"/>
  <c r="H70" i="4"/>
  <c r="L70" i="4" s="1"/>
  <c r="U69" i="4"/>
  <c r="K69" i="4" s="1"/>
  <c r="H69" i="4"/>
  <c r="L69" i="4" s="1"/>
  <c r="U68" i="4"/>
  <c r="K68" i="4" s="1"/>
  <c r="H68" i="4"/>
  <c r="L68" i="4" s="1"/>
  <c r="U67" i="4"/>
  <c r="K67" i="4"/>
  <c r="H67" i="4"/>
  <c r="L67" i="4" s="1"/>
  <c r="U66" i="4"/>
  <c r="K66" i="4" s="1"/>
  <c r="H66" i="4"/>
  <c r="L66" i="4" s="1"/>
  <c r="U65" i="4"/>
  <c r="K65" i="4" s="1"/>
  <c r="H65" i="4"/>
  <c r="L65" i="4" s="1"/>
  <c r="U64" i="4"/>
  <c r="K64" i="4"/>
  <c r="H64" i="4"/>
  <c r="L64" i="4" s="1"/>
  <c r="U63" i="4"/>
  <c r="K63" i="4" s="1"/>
  <c r="H63" i="4"/>
  <c r="L63" i="4" s="1"/>
  <c r="U62" i="4"/>
  <c r="K62" i="4" s="1"/>
  <c r="H62" i="4"/>
  <c r="L62" i="4" s="1"/>
  <c r="U61" i="4"/>
  <c r="K61" i="4"/>
  <c r="H61" i="4"/>
  <c r="L61" i="4" s="1"/>
  <c r="U60" i="4"/>
  <c r="K60" i="4" s="1"/>
  <c r="H60" i="4"/>
  <c r="L60" i="4" s="1"/>
  <c r="U59" i="4"/>
  <c r="K59" i="4" s="1"/>
  <c r="H59" i="4"/>
  <c r="L59" i="4" s="1"/>
  <c r="U58" i="4"/>
  <c r="U82" i="4" s="1"/>
  <c r="K58" i="4"/>
  <c r="H58" i="4"/>
  <c r="L58" i="4" s="1"/>
  <c r="L52" i="4"/>
  <c r="G52" i="4"/>
  <c r="D52" i="4"/>
  <c r="B52" i="4"/>
  <c r="X36" i="4"/>
  <c r="X40" i="4" s="1"/>
  <c r="U36" i="4"/>
  <c r="T36" i="4"/>
  <c r="S36" i="4"/>
  <c r="R36" i="4"/>
  <c r="Q36" i="4"/>
  <c r="P36" i="4"/>
  <c r="J36" i="4"/>
  <c r="I36" i="4"/>
  <c r="I41" i="4" s="1"/>
  <c r="H36" i="4"/>
  <c r="F36" i="4"/>
  <c r="E36" i="4"/>
  <c r="D36" i="4"/>
  <c r="C36" i="4"/>
  <c r="B36" i="4"/>
  <c r="V35" i="4"/>
  <c r="G35" i="4"/>
  <c r="V34" i="4"/>
  <c r="N34" i="4"/>
  <c r="G34" i="4"/>
  <c r="K34" i="4" s="1"/>
  <c r="O34" i="4" s="1"/>
  <c r="V33" i="4"/>
  <c r="G33" i="4"/>
  <c r="K33" i="4" s="1"/>
  <c r="O33" i="4" s="1"/>
  <c r="V32" i="4"/>
  <c r="N32" i="4" s="1"/>
  <c r="G32" i="4"/>
  <c r="K32" i="4" s="1"/>
  <c r="O32" i="4" s="1"/>
  <c r="V31" i="4"/>
  <c r="N31" i="4" s="1"/>
  <c r="G31" i="4"/>
  <c r="K31" i="4" s="1"/>
  <c r="O31" i="4" s="1"/>
  <c r="V30" i="4"/>
  <c r="G30" i="4"/>
  <c r="K30" i="4" s="1"/>
  <c r="O30" i="4" s="1"/>
  <c r="V29" i="4"/>
  <c r="G29" i="4"/>
  <c r="K29" i="4" s="1"/>
  <c r="O29" i="4" s="1"/>
  <c r="V28" i="4"/>
  <c r="G28" i="4"/>
  <c r="V27" i="4"/>
  <c r="G27" i="4"/>
  <c r="K27" i="4" s="1"/>
  <c r="O27" i="4" s="1"/>
  <c r="V26" i="4"/>
  <c r="G26" i="4"/>
  <c r="V25" i="4"/>
  <c r="G25" i="4"/>
  <c r="K25" i="4" s="1"/>
  <c r="O25" i="4" s="1"/>
  <c r="V24" i="4"/>
  <c r="G24" i="4"/>
  <c r="K24" i="4" s="1"/>
  <c r="O24" i="4" s="1"/>
  <c r="V23" i="4"/>
  <c r="G23" i="4"/>
  <c r="K23" i="4" s="1"/>
  <c r="O23" i="4" s="1"/>
  <c r="V22" i="4"/>
  <c r="G22" i="4"/>
  <c r="V21" i="4"/>
  <c r="G21" i="4"/>
  <c r="N21" i="4" s="1"/>
  <c r="V20" i="4"/>
  <c r="G20" i="4"/>
  <c r="W36" i="4"/>
  <c r="V19" i="4"/>
  <c r="G19" i="4"/>
  <c r="V18" i="4"/>
  <c r="G18" i="4"/>
  <c r="K18" i="4" s="1"/>
  <c r="O18" i="4" s="1"/>
  <c r="V17" i="4"/>
  <c r="G17" i="4"/>
  <c r="V16" i="4"/>
  <c r="G16" i="4"/>
  <c r="K16" i="4" s="1"/>
  <c r="O16" i="4" s="1"/>
  <c r="V15" i="4"/>
  <c r="G15" i="4"/>
  <c r="K15" i="4" s="1"/>
  <c r="O15" i="4" s="1"/>
  <c r="V14" i="4"/>
  <c r="G14" i="4"/>
  <c r="K14" i="4" s="1"/>
  <c r="O14" i="4" s="1"/>
  <c r="V13" i="4"/>
  <c r="G13" i="4"/>
  <c r="V12" i="4"/>
  <c r="G12" i="4"/>
  <c r="W31" i="3"/>
  <c r="W32" i="3"/>
  <c r="W33" i="3"/>
  <c r="W21" i="3"/>
  <c r="W20" i="3"/>
  <c r="W19" i="3"/>
  <c r="N36" i="7" l="1"/>
  <c r="L47" i="7" s="1"/>
  <c r="O36" i="7"/>
  <c r="N17" i="6"/>
  <c r="N29" i="6"/>
  <c r="N16" i="6"/>
  <c r="N35" i="6"/>
  <c r="N22" i="6"/>
  <c r="N28" i="6"/>
  <c r="N26" i="6"/>
  <c r="N23" i="6"/>
  <c r="N34" i="6"/>
  <c r="V36" i="6"/>
  <c r="N25" i="6"/>
  <c r="N27" i="6"/>
  <c r="K16" i="6"/>
  <c r="O16" i="6" s="1"/>
  <c r="N20" i="6"/>
  <c r="N14" i="6"/>
  <c r="N18" i="6"/>
  <c r="N19" i="6"/>
  <c r="N21" i="6"/>
  <c r="K34" i="6"/>
  <c r="O34" i="6" s="1"/>
  <c r="G36" i="6"/>
  <c r="K12" i="6"/>
  <c r="O12" i="6" s="1"/>
  <c r="N13" i="6"/>
  <c r="N15" i="6"/>
  <c r="N32" i="6"/>
  <c r="N31" i="6"/>
  <c r="N33" i="6"/>
  <c r="L82" i="6"/>
  <c r="N12" i="6"/>
  <c r="K17" i="6"/>
  <c r="O17" i="6" s="1"/>
  <c r="K23" i="6"/>
  <c r="O23" i="6" s="1"/>
  <c r="K29" i="6"/>
  <c r="O29" i="6" s="1"/>
  <c r="K35" i="6"/>
  <c r="O35" i="6" s="1"/>
  <c r="N26" i="5"/>
  <c r="N35" i="5"/>
  <c r="N18" i="5"/>
  <c r="N24" i="5"/>
  <c r="N27" i="5"/>
  <c r="N16" i="5"/>
  <c r="N31" i="5"/>
  <c r="N23" i="5"/>
  <c r="N13" i="5"/>
  <c r="N17" i="5"/>
  <c r="K31" i="5"/>
  <c r="O31" i="5" s="1"/>
  <c r="N15" i="5"/>
  <c r="N28" i="5"/>
  <c r="N25" i="5"/>
  <c r="N32" i="5"/>
  <c r="N12" i="5"/>
  <c r="K24" i="5"/>
  <c r="O24" i="5" s="1"/>
  <c r="K27" i="5"/>
  <c r="O27" i="5" s="1"/>
  <c r="K35" i="5"/>
  <c r="O35" i="5" s="1"/>
  <c r="N21" i="5"/>
  <c r="N20" i="5"/>
  <c r="N29" i="5"/>
  <c r="G36" i="5"/>
  <c r="N14" i="5"/>
  <c r="N22" i="5"/>
  <c r="N30" i="5"/>
  <c r="N33" i="5"/>
  <c r="N34" i="5"/>
  <c r="K82" i="5"/>
  <c r="L93" i="5" s="1"/>
  <c r="N36" i="5"/>
  <c r="L47" i="5" s="1"/>
  <c r="V36" i="5"/>
  <c r="U82" i="5"/>
  <c r="K13" i="5"/>
  <c r="O13" i="5" s="1"/>
  <c r="K18" i="5"/>
  <c r="O18" i="5" s="1"/>
  <c r="K26" i="5"/>
  <c r="O26" i="5" s="1"/>
  <c r="N26" i="4"/>
  <c r="N35" i="4"/>
  <c r="V36" i="4"/>
  <c r="N19" i="4"/>
  <c r="N28" i="4"/>
  <c r="N14" i="4"/>
  <c r="N16" i="4"/>
  <c r="N15" i="4"/>
  <c r="N23" i="4"/>
  <c r="N29" i="4"/>
  <c r="N24" i="4"/>
  <c r="N30" i="4"/>
  <c r="N25" i="4"/>
  <c r="N13" i="4"/>
  <c r="N17" i="4"/>
  <c r="N20" i="4"/>
  <c r="N22" i="4"/>
  <c r="K13" i="4"/>
  <c r="O13" i="4" s="1"/>
  <c r="K19" i="4"/>
  <c r="O19" i="4" s="1"/>
  <c r="K20" i="4"/>
  <c r="O20" i="4" s="1"/>
  <c r="K21" i="4"/>
  <c r="O21" i="4" s="1"/>
  <c r="K22" i="4"/>
  <c r="O22" i="4" s="1"/>
  <c r="K28" i="4"/>
  <c r="O28" i="4" s="1"/>
  <c r="N33" i="4"/>
  <c r="G36" i="4"/>
  <c r="K12" i="4"/>
  <c r="O12" i="4" s="1"/>
  <c r="N18" i="4"/>
  <c r="N27" i="4"/>
  <c r="K82" i="4"/>
  <c r="L93" i="4" s="1"/>
  <c r="L82" i="4"/>
  <c r="N12" i="4"/>
  <c r="K17" i="4"/>
  <c r="O17" i="4" s="1"/>
  <c r="K26" i="4"/>
  <c r="O26" i="4" s="1"/>
  <c r="K35" i="4"/>
  <c r="O35" i="4" s="1"/>
  <c r="W82" i="3"/>
  <c r="W86" i="3" s="1"/>
  <c r="V82" i="3"/>
  <c r="T82" i="3"/>
  <c r="S82" i="3"/>
  <c r="R82" i="3"/>
  <c r="Q82" i="3"/>
  <c r="P82" i="3"/>
  <c r="O82" i="3"/>
  <c r="N82" i="3"/>
  <c r="M82" i="3"/>
  <c r="G82" i="3"/>
  <c r="F82" i="3"/>
  <c r="I87" i="3" s="1"/>
  <c r="E82" i="3"/>
  <c r="D82" i="3"/>
  <c r="C82" i="3"/>
  <c r="B82" i="3"/>
  <c r="U81" i="3"/>
  <c r="K81" i="3" s="1"/>
  <c r="L81" i="3"/>
  <c r="H81" i="3"/>
  <c r="U80" i="3"/>
  <c r="K80" i="3" s="1"/>
  <c r="H80" i="3"/>
  <c r="L80" i="3" s="1"/>
  <c r="U79" i="3"/>
  <c r="K79" i="3" s="1"/>
  <c r="H79" i="3"/>
  <c r="L79" i="3" s="1"/>
  <c r="U78" i="3"/>
  <c r="K78" i="3"/>
  <c r="H78" i="3"/>
  <c r="L78" i="3" s="1"/>
  <c r="U77" i="3"/>
  <c r="K77" i="3" s="1"/>
  <c r="H77" i="3"/>
  <c r="L77" i="3" s="1"/>
  <c r="U76" i="3"/>
  <c r="K76" i="3" s="1"/>
  <c r="H76" i="3"/>
  <c r="L76" i="3" s="1"/>
  <c r="U75" i="3"/>
  <c r="K75" i="3"/>
  <c r="H75" i="3"/>
  <c r="L75" i="3" s="1"/>
  <c r="U74" i="3"/>
  <c r="K74" i="3" s="1"/>
  <c r="H74" i="3"/>
  <c r="L74" i="3" s="1"/>
  <c r="U73" i="3"/>
  <c r="K73" i="3" s="1"/>
  <c r="H73" i="3"/>
  <c r="L73" i="3" s="1"/>
  <c r="U72" i="3"/>
  <c r="K72" i="3" s="1"/>
  <c r="L72" i="3"/>
  <c r="H72" i="3"/>
  <c r="U71" i="3"/>
  <c r="K71" i="3" s="1"/>
  <c r="H71" i="3"/>
  <c r="L71" i="3" s="1"/>
  <c r="U70" i="3"/>
  <c r="K70" i="3" s="1"/>
  <c r="H70" i="3"/>
  <c r="L70" i="3" s="1"/>
  <c r="U69" i="3"/>
  <c r="K69" i="3" s="1"/>
  <c r="H69" i="3"/>
  <c r="L69" i="3" s="1"/>
  <c r="U68" i="3"/>
  <c r="K68" i="3" s="1"/>
  <c r="H68" i="3"/>
  <c r="L68" i="3" s="1"/>
  <c r="U67" i="3"/>
  <c r="K67" i="3" s="1"/>
  <c r="H67" i="3"/>
  <c r="L67" i="3" s="1"/>
  <c r="U66" i="3"/>
  <c r="K66" i="3" s="1"/>
  <c r="H66" i="3"/>
  <c r="L66" i="3" s="1"/>
  <c r="U65" i="3"/>
  <c r="K65" i="3" s="1"/>
  <c r="H65" i="3"/>
  <c r="L65" i="3" s="1"/>
  <c r="U64" i="3"/>
  <c r="K64" i="3" s="1"/>
  <c r="H64" i="3"/>
  <c r="L64" i="3" s="1"/>
  <c r="U63" i="3"/>
  <c r="L63" i="3"/>
  <c r="K63" i="3"/>
  <c r="H63" i="3"/>
  <c r="U62" i="3"/>
  <c r="K62" i="3" s="1"/>
  <c r="H62" i="3"/>
  <c r="L62" i="3" s="1"/>
  <c r="U61" i="3"/>
  <c r="K61" i="3" s="1"/>
  <c r="H61" i="3"/>
  <c r="L61" i="3" s="1"/>
  <c r="U60" i="3"/>
  <c r="K60" i="3"/>
  <c r="H60" i="3"/>
  <c r="L60" i="3" s="1"/>
  <c r="U59" i="3"/>
  <c r="K59" i="3" s="1"/>
  <c r="H59" i="3"/>
  <c r="L59" i="3" s="1"/>
  <c r="U58" i="3"/>
  <c r="K58" i="3" s="1"/>
  <c r="H58" i="3"/>
  <c r="L58" i="3" s="1"/>
  <c r="L52" i="3"/>
  <c r="G52" i="3"/>
  <c r="D52" i="3"/>
  <c r="B52" i="3"/>
  <c r="X36" i="3"/>
  <c r="X40" i="3" s="1"/>
  <c r="W36" i="3"/>
  <c r="U36" i="3"/>
  <c r="T36" i="3"/>
  <c r="S36" i="3"/>
  <c r="R36" i="3"/>
  <c r="Q36" i="3"/>
  <c r="P36" i="3"/>
  <c r="J36" i="3"/>
  <c r="I36" i="3"/>
  <c r="H36" i="3"/>
  <c r="I41" i="3" s="1"/>
  <c r="F36" i="3"/>
  <c r="E36" i="3"/>
  <c r="D36" i="3"/>
  <c r="C36" i="3"/>
  <c r="B36" i="3"/>
  <c r="V35" i="3"/>
  <c r="G35" i="3"/>
  <c r="K35" i="3" s="1"/>
  <c r="O35" i="3" s="1"/>
  <c r="V34" i="3"/>
  <c r="G34" i="3"/>
  <c r="K34" i="3" s="1"/>
  <c r="O34" i="3" s="1"/>
  <c r="V33" i="3"/>
  <c r="G33" i="3"/>
  <c r="K33" i="3" s="1"/>
  <c r="O33" i="3" s="1"/>
  <c r="V32" i="3"/>
  <c r="K32" i="3"/>
  <c r="O32" i="3" s="1"/>
  <c r="G32" i="3"/>
  <c r="N32" i="3" s="1"/>
  <c r="V31" i="3"/>
  <c r="G31" i="3"/>
  <c r="N31" i="3" s="1"/>
  <c r="V30" i="3"/>
  <c r="G30" i="3"/>
  <c r="N30" i="3" s="1"/>
  <c r="V29" i="3"/>
  <c r="G29" i="3"/>
  <c r="K29" i="3" s="1"/>
  <c r="O29" i="3" s="1"/>
  <c r="V28" i="3"/>
  <c r="G28" i="3"/>
  <c r="K28" i="3" s="1"/>
  <c r="O28" i="3" s="1"/>
  <c r="V27" i="3"/>
  <c r="G27" i="3"/>
  <c r="K27" i="3" s="1"/>
  <c r="O27" i="3" s="1"/>
  <c r="V26" i="3"/>
  <c r="N26" i="3"/>
  <c r="K26" i="3"/>
  <c r="O26" i="3" s="1"/>
  <c r="G26" i="3"/>
  <c r="V25" i="3"/>
  <c r="G25" i="3"/>
  <c r="K25" i="3" s="1"/>
  <c r="O25" i="3" s="1"/>
  <c r="V24" i="3"/>
  <c r="G24" i="3"/>
  <c r="N24" i="3" s="1"/>
  <c r="V23" i="3"/>
  <c r="N23" i="3" s="1"/>
  <c r="G23" i="3"/>
  <c r="K23" i="3" s="1"/>
  <c r="O23" i="3" s="1"/>
  <c r="V22" i="3"/>
  <c r="K22" i="3"/>
  <c r="O22" i="3" s="1"/>
  <c r="G22" i="3"/>
  <c r="V21" i="3"/>
  <c r="G21" i="3"/>
  <c r="K21" i="3" s="1"/>
  <c r="O21" i="3" s="1"/>
  <c r="V20" i="3"/>
  <c r="N20" i="3" s="1"/>
  <c r="K20" i="3"/>
  <c r="O20" i="3" s="1"/>
  <c r="G20" i="3"/>
  <c r="V19" i="3"/>
  <c r="G19" i="3"/>
  <c r="N19" i="3" s="1"/>
  <c r="V18" i="3"/>
  <c r="K18" i="3"/>
  <c r="O18" i="3" s="1"/>
  <c r="G18" i="3"/>
  <c r="V17" i="3"/>
  <c r="G17" i="3"/>
  <c r="K17" i="3" s="1"/>
  <c r="O17" i="3" s="1"/>
  <c r="V16" i="3"/>
  <c r="N16" i="3" s="1"/>
  <c r="K16" i="3"/>
  <c r="O16" i="3" s="1"/>
  <c r="G16" i="3"/>
  <c r="V15" i="3"/>
  <c r="G15" i="3"/>
  <c r="V14" i="3"/>
  <c r="K14" i="3"/>
  <c r="O14" i="3" s="1"/>
  <c r="G14" i="3"/>
  <c r="N14" i="3" s="1"/>
  <c r="V13" i="3"/>
  <c r="G13" i="3"/>
  <c r="V12" i="3"/>
  <c r="K12" i="3"/>
  <c r="O12" i="3" s="1"/>
  <c r="G12" i="3"/>
  <c r="X40" i="2"/>
  <c r="O36" i="6" l="1"/>
  <c r="N36" i="6"/>
  <c r="L47" i="6" s="1"/>
  <c r="O36" i="5"/>
  <c r="N36" i="4"/>
  <c r="L47" i="4" s="1"/>
  <c r="O36" i="4"/>
  <c r="V36" i="3"/>
  <c r="N15" i="3"/>
  <c r="N13" i="3"/>
  <c r="N18" i="3"/>
  <c r="K13" i="3"/>
  <c r="O13" i="3" s="1"/>
  <c r="K15" i="3"/>
  <c r="O15" i="3" s="1"/>
  <c r="N27" i="3"/>
  <c r="K19" i="3"/>
  <c r="O19" i="3" s="1"/>
  <c r="N21" i="3"/>
  <c r="N28" i="3"/>
  <c r="K31" i="3"/>
  <c r="O31" i="3" s="1"/>
  <c r="N35" i="3"/>
  <c r="N17" i="3"/>
  <c r="N33" i="3"/>
  <c r="N22" i="3"/>
  <c r="N29" i="3"/>
  <c r="G36" i="3"/>
  <c r="N34" i="3"/>
  <c r="K82" i="3"/>
  <c r="L93" i="3" s="1"/>
  <c r="L82" i="3"/>
  <c r="U82" i="3"/>
  <c r="K24" i="3"/>
  <c r="O24" i="3" s="1"/>
  <c r="N25" i="3"/>
  <c r="K30" i="3"/>
  <c r="O30" i="3" s="1"/>
  <c r="N12" i="3"/>
  <c r="N29" i="2"/>
  <c r="W82" i="2"/>
  <c r="W86" i="2" s="1"/>
  <c r="V82" i="2"/>
  <c r="T82" i="2"/>
  <c r="S82" i="2"/>
  <c r="R82" i="2"/>
  <c r="Q82" i="2"/>
  <c r="P82" i="2"/>
  <c r="O82" i="2"/>
  <c r="N82" i="2"/>
  <c r="M82" i="2"/>
  <c r="G82" i="2"/>
  <c r="F82" i="2"/>
  <c r="I87" i="2" s="1"/>
  <c r="E82" i="2"/>
  <c r="D82" i="2"/>
  <c r="C82" i="2"/>
  <c r="B82" i="2"/>
  <c r="U81" i="2"/>
  <c r="K81" i="2" s="1"/>
  <c r="H81" i="2"/>
  <c r="L81" i="2" s="1"/>
  <c r="U80" i="2"/>
  <c r="K80" i="2" s="1"/>
  <c r="H80" i="2"/>
  <c r="L80" i="2" s="1"/>
  <c r="U79" i="2"/>
  <c r="K79" i="2" s="1"/>
  <c r="H79" i="2"/>
  <c r="L79" i="2" s="1"/>
  <c r="U78" i="2"/>
  <c r="K78" i="2" s="1"/>
  <c r="H78" i="2"/>
  <c r="L78" i="2" s="1"/>
  <c r="U77" i="2"/>
  <c r="K77" i="2" s="1"/>
  <c r="H77" i="2"/>
  <c r="L77" i="2" s="1"/>
  <c r="U76" i="2"/>
  <c r="K76" i="2"/>
  <c r="H76" i="2"/>
  <c r="L76" i="2" s="1"/>
  <c r="U75" i="2"/>
  <c r="K75" i="2" s="1"/>
  <c r="H75" i="2"/>
  <c r="L75" i="2" s="1"/>
  <c r="U74" i="2"/>
  <c r="K74" i="2" s="1"/>
  <c r="H74" i="2"/>
  <c r="L74" i="2" s="1"/>
  <c r="U73" i="2"/>
  <c r="K73" i="2" s="1"/>
  <c r="H73" i="2"/>
  <c r="L73" i="2" s="1"/>
  <c r="U72" i="2"/>
  <c r="K72" i="2" s="1"/>
  <c r="H72" i="2"/>
  <c r="L72" i="2" s="1"/>
  <c r="U71" i="2"/>
  <c r="K71" i="2" s="1"/>
  <c r="H71" i="2"/>
  <c r="L71" i="2" s="1"/>
  <c r="U70" i="2"/>
  <c r="K70" i="2" s="1"/>
  <c r="H70" i="2"/>
  <c r="L70" i="2" s="1"/>
  <c r="U69" i="2"/>
  <c r="K69" i="2" s="1"/>
  <c r="H69" i="2"/>
  <c r="L69" i="2" s="1"/>
  <c r="U68" i="2"/>
  <c r="K68" i="2" s="1"/>
  <c r="H68" i="2"/>
  <c r="L68" i="2" s="1"/>
  <c r="U67" i="2"/>
  <c r="K67" i="2" s="1"/>
  <c r="H67" i="2"/>
  <c r="L67" i="2" s="1"/>
  <c r="U66" i="2"/>
  <c r="K66" i="2" s="1"/>
  <c r="H66" i="2"/>
  <c r="L66" i="2" s="1"/>
  <c r="U65" i="2"/>
  <c r="K65" i="2" s="1"/>
  <c r="H65" i="2"/>
  <c r="L65" i="2" s="1"/>
  <c r="U64" i="2"/>
  <c r="K64" i="2" s="1"/>
  <c r="H64" i="2"/>
  <c r="L64" i="2" s="1"/>
  <c r="U63" i="2"/>
  <c r="K63" i="2" s="1"/>
  <c r="H63" i="2"/>
  <c r="L63" i="2" s="1"/>
  <c r="U62" i="2"/>
  <c r="K62" i="2" s="1"/>
  <c r="H62" i="2"/>
  <c r="L62" i="2" s="1"/>
  <c r="U61" i="2"/>
  <c r="K61" i="2" s="1"/>
  <c r="H61" i="2"/>
  <c r="L61" i="2" s="1"/>
  <c r="U60" i="2"/>
  <c r="K60" i="2" s="1"/>
  <c r="H60" i="2"/>
  <c r="L60" i="2" s="1"/>
  <c r="U59" i="2"/>
  <c r="K59" i="2" s="1"/>
  <c r="H59" i="2"/>
  <c r="L59" i="2" s="1"/>
  <c r="U58" i="2"/>
  <c r="K58" i="2" s="1"/>
  <c r="H58" i="2"/>
  <c r="L58" i="2" s="1"/>
  <c r="L52" i="2"/>
  <c r="G52" i="2"/>
  <c r="D52" i="2"/>
  <c r="B52" i="2"/>
  <c r="X36" i="2"/>
  <c r="W36" i="2"/>
  <c r="U36" i="2"/>
  <c r="T36" i="2"/>
  <c r="S36" i="2"/>
  <c r="R36" i="2"/>
  <c r="Q36" i="2"/>
  <c r="P36" i="2"/>
  <c r="J36" i="2"/>
  <c r="I36" i="2"/>
  <c r="H36" i="2"/>
  <c r="F36" i="2"/>
  <c r="E36" i="2"/>
  <c r="D36" i="2"/>
  <c r="C36" i="2"/>
  <c r="B36" i="2"/>
  <c r="V35" i="2"/>
  <c r="K35" i="2"/>
  <c r="O35" i="2" s="1"/>
  <c r="G35" i="2"/>
  <c r="V34" i="2"/>
  <c r="K34" i="2"/>
  <c r="O34" i="2" s="1"/>
  <c r="G34" i="2"/>
  <c r="V33" i="2"/>
  <c r="N33" i="2" s="1"/>
  <c r="K33" i="2"/>
  <c r="O33" i="2" s="1"/>
  <c r="G33" i="2"/>
  <c r="V32" i="2"/>
  <c r="K32" i="2"/>
  <c r="O32" i="2" s="1"/>
  <c r="G32" i="2"/>
  <c r="V31" i="2"/>
  <c r="K31" i="2"/>
  <c r="O31" i="2" s="1"/>
  <c r="G31" i="2"/>
  <c r="V30" i="2"/>
  <c r="K30" i="2"/>
  <c r="O30" i="2" s="1"/>
  <c r="G30" i="2"/>
  <c r="V29" i="2"/>
  <c r="K29" i="2"/>
  <c r="O29" i="2" s="1"/>
  <c r="G29" i="2"/>
  <c r="V28" i="2"/>
  <c r="K28" i="2"/>
  <c r="O28" i="2" s="1"/>
  <c r="G28" i="2"/>
  <c r="V27" i="2"/>
  <c r="N27" i="2" s="1"/>
  <c r="K27" i="2"/>
  <c r="O27" i="2" s="1"/>
  <c r="G27" i="2"/>
  <c r="V26" i="2"/>
  <c r="K26" i="2"/>
  <c r="O26" i="2" s="1"/>
  <c r="G26" i="2"/>
  <c r="V25" i="2"/>
  <c r="K25" i="2"/>
  <c r="O25" i="2" s="1"/>
  <c r="G25" i="2"/>
  <c r="N25" i="2" s="1"/>
  <c r="V24" i="2"/>
  <c r="K24" i="2"/>
  <c r="O24" i="2" s="1"/>
  <c r="G24" i="2"/>
  <c r="V23" i="2"/>
  <c r="K23" i="2"/>
  <c r="O23" i="2" s="1"/>
  <c r="G23" i="2"/>
  <c r="N23" i="2" s="1"/>
  <c r="V22" i="2"/>
  <c r="K22" i="2"/>
  <c r="O22" i="2" s="1"/>
  <c r="G22" i="2"/>
  <c r="V21" i="2"/>
  <c r="N21" i="2" s="1"/>
  <c r="K21" i="2"/>
  <c r="O21" i="2" s="1"/>
  <c r="G21" i="2"/>
  <c r="V20" i="2"/>
  <c r="K20" i="2"/>
  <c r="O20" i="2" s="1"/>
  <c r="G20" i="2"/>
  <c r="V19" i="2"/>
  <c r="K19" i="2"/>
  <c r="O19" i="2" s="1"/>
  <c r="G19" i="2"/>
  <c r="N19" i="2" s="1"/>
  <c r="V18" i="2"/>
  <c r="K18" i="2"/>
  <c r="O18" i="2" s="1"/>
  <c r="G18" i="2"/>
  <c r="V17" i="2"/>
  <c r="K17" i="2"/>
  <c r="O17" i="2" s="1"/>
  <c r="G17" i="2"/>
  <c r="N17" i="2" s="1"/>
  <c r="V16" i="2"/>
  <c r="K16" i="2"/>
  <c r="O16" i="2" s="1"/>
  <c r="G16" i="2"/>
  <c r="V15" i="2"/>
  <c r="K15" i="2"/>
  <c r="O15" i="2" s="1"/>
  <c r="G15" i="2"/>
  <c r="V14" i="2"/>
  <c r="K14" i="2"/>
  <c r="O14" i="2" s="1"/>
  <c r="G14" i="2"/>
  <c r="V13" i="2"/>
  <c r="K13" i="2"/>
  <c r="O13" i="2" s="1"/>
  <c r="G13" i="2"/>
  <c r="N13" i="2" s="1"/>
  <c r="V12" i="2"/>
  <c r="K12" i="2"/>
  <c r="O12" i="2" s="1"/>
  <c r="G12" i="2"/>
  <c r="W82" i="1"/>
  <c r="W86" i="1" s="1"/>
  <c r="T82" i="1"/>
  <c r="S82" i="1"/>
  <c r="R82" i="1"/>
  <c r="Q82" i="1"/>
  <c r="P82" i="1"/>
  <c r="O82" i="1"/>
  <c r="N82" i="1"/>
  <c r="M82" i="1"/>
  <c r="G82" i="1"/>
  <c r="F82" i="1"/>
  <c r="I87" i="1" s="1"/>
  <c r="E82" i="1"/>
  <c r="D82" i="1"/>
  <c r="C82" i="1"/>
  <c r="B82" i="1"/>
  <c r="U81" i="1"/>
  <c r="K81" i="1" s="1"/>
  <c r="H81" i="1"/>
  <c r="L81" i="1" s="1"/>
  <c r="U80" i="1"/>
  <c r="K80" i="1" s="1"/>
  <c r="H80" i="1"/>
  <c r="L80" i="1" s="1"/>
  <c r="U79" i="1"/>
  <c r="K79" i="1"/>
  <c r="H79" i="1"/>
  <c r="L79" i="1" s="1"/>
  <c r="U78" i="1"/>
  <c r="K78" i="1" s="1"/>
  <c r="H78" i="1"/>
  <c r="L78" i="1" s="1"/>
  <c r="U77" i="1"/>
  <c r="K77" i="1" s="1"/>
  <c r="H77" i="1"/>
  <c r="L77" i="1" s="1"/>
  <c r="U76" i="1"/>
  <c r="K76" i="1" s="1"/>
  <c r="H76" i="1"/>
  <c r="L76" i="1" s="1"/>
  <c r="U75" i="1"/>
  <c r="K75" i="1" s="1"/>
  <c r="H75" i="1"/>
  <c r="L75" i="1" s="1"/>
  <c r="U74" i="1"/>
  <c r="K74" i="1" s="1"/>
  <c r="H74" i="1"/>
  <c r="L74" i="1" s="1"/>
  <c r="U73" i="1"/>
  <c r="K73" i="1"/>
  <c r="H73" i="1"/>
  <c r="L73" i="1" s="1"/>
  <c r="U72" i="1"/>
  <c r="K72" i="1"/>
  <c r="H72" i="1"/>
  <c r="L72" i="1" s="1"/>
  <c r="U71" i="1"/>
  <c r="K71" i="1" s="1"/>
  <c r="H71" i="1"/>
  <c r="L71" i="1" s="1"/>
  <c r="U70" i="1"/>
  <c r="K70" i="1" s="1"/>
  <c r="H70" i="1"/>
  <c r="L70" i="1" s="1"/>
  <c r="U69" i="1"/>
  <c r="K69" i="1" s="1"/>
  <c r="H69" i="1"/>
  <c r="L69" i="1" s="1"/>
  <c r="U68" i="1"/>
  <c r="K68" i="1" s="1"/>
  <c r="H68" i="1"/>
  <c r="L68" i="1" s="1"/>
  <c r="U67" i="1"/>
  <c r="K67" i="1" s="1"/>
  <c r="H67" i="1"/>
  <c r="L67" i="1" s="1"/>
  <c r="U66" i="1"/>
  <c r="K66" i="1" s="1"/>
  <c r="H66" i="1"/>
  <c r="L66" i="1" s="1"/>
  <c r="V82" i="1"/>
  <c r="U65" i="1"/>
  <c r="K65" i="1" s="1"/>
  <c r="H65" i="1"/>
  <c r="L65" i="1" s="1"/>
  <c r="U64" i="1"/>
  <c r="K64" i="1" s="1"/>
  <c r="H64" i="1"/>
  <c r="L64" i="1" s="1"/>
  <c r="U63" i="1"/>
  <c r="K63" i="1" s="1"/>
  <c r="H63" i="1"/>
  <c r="L63" i="1" s="1"/>
  <c r="U62" i="1"/>
  <c r="K62" i="1" s="1"/>
  <c r="H62" i="1"/>
  <c r="L62" i="1" s="1"/>
  <c r="U61" i="1"/>
  <c r="K61" i="1" s="1"/>
  <c r="H61" i="1"/>
  <c r="L61" i="1" s="1"/>
  <c r="U60" i="1"/>
  <c r="K60" i="1" s="1"/>
  <c r="H60" i="1"/>
  <c r="L60" i="1" s="1"/>
  <c r="U59" i="1"/>
  <c r="K59" i="1" s="1"/>
  <c r="H59" i="1"/>
  <c r="L59" i="1" s="1"/>
  <c r="U58" i="1"/>
  <c r="K58" i="1" s="1"/>
  <c r="H58" i="1"/>
  <c r="L58" i="1" s="1"/>
  <c r="L52" i="1"/>
  <c r="G52" i="1"/>
  <c r="D52" i="1"/>
  <c r="B52" i="1"/>
  <c r="X36" i="1"/>
  <c r="X40" i="1" s="1"/>
  <c r="W36" i="1"/>
  <c r="U36" i="1"/>
  <c r="T36" i="1"/>
  <c r="S36" i="1"/>
  <c r="R36" i="1"/>
  <c r="Q36" i="1"/>
  <c r="P36" i="1"/>
  <c r="J36" i="1"/>
  <c r="I36" i="1"/>
  <c r="H36" i="1"/>
  <c r="F36" i="1"/>
  <c r="E36" i="1"/>
  <c r="D36" i="1"/>
  <c r="C36" i="1"/>
  <c r="B36" i="1"/>
  <c r="V35" i="1"/>
  <c r="N35" i="1" s="1"/>
  <c r="O35" i="1"/>
  <c r="K35" i="1"/>
  <c r="G35" i="1"/>
  <c r="V34" i="1"/>
  <c r="N34" i="1" s="1"/>
  <c r="O34" i="1"/>
  <c r="K34" i="1"/>
  <c r="G34" i="1"/>
  <c r="V33" i="1"/>
  <c r="N33" i="1" s="1"/>
  <c r="K33" i="1"/>
  <c r="O33" i="1" s="1"/>
  <c r="G33" i="1"/>
  <c r="V32" i="1"/>
  <c r="O32" i="1"/>
  <c r="N32" i="1"/>
  <c r="K32" i="1"/>
  <c r="G32" i="1"/>
  <c r="V31" i="1"/>
  <c r="O31" i="1"/>
  <c r="K31" i="1"/>
  <c r="G31" i="1"/>
  <c r="N31" i="1" s="1"/>
  <c r="V30" i="1"/>
  <c r="N30" i="1" s="1"/>
  <c r="O30" i="1"/>
  <c r="K30" i="1"/>
  <c r="G30" i="1"/>
  <c r="V29" i="1"/>
  <c r="N29" i="1" s="1"/>
  <c r="K29" i="1"/>
  <c r="O29" i="1" s="1"/>
  <c r="G29" i="1"/>
  <c r="V28" i="1"/>
  <c r="N28" i="1"/>
  <c r="K28" i="1"/>
  <c r="O28" i="1" s="1"/>
  <c r="G28" i="1"/>
  <c r="V27" i="1"/>
  <c r="N27" i="1" s="1"/>
  <c r="O27" i="1"/>
  <c r="K27" i="1"/>
  <c r="G27" i="1"/>
  <c r="V26" i="1"/>
  <c r="N26" i="1" s="1"/>
  <c r="K26" i="1"/>
  <c r="O26" i="1" s="1"/>
  <c r="G26" i="1"/>
  <c r="V25" i="1"/>
  <c r="N25" i="1" s="1"/>
  <c r="K25" i="1"/>
  <c r="O25" i="1" s="1"/>
  <c r="G25" i="1"/>
  <c r="V24" i="1"/>
  <c r="O24" i="1"/>
  <c r="N24" i="1"/>
  <c r="K24" i="1"/>
  <c r="G24" i="1"/>
  <c r="V23" i="1"/>
  <c r="O23" i="1"/>
  <c r="K23" i="1"/>
  <c r="G23" i="1"/>
  <c r="N23" i="1" s="1"/>
  <c r="V22" i="1"/>
  <c r="N22" i="1" s="1"/>
  <c r="O22" i="1"/>
  <c r="K22" i="1"/>
  <c r="G22" i="1"/>
  <c r="V21" i="1"/>
  <c r="K21" i="1"/>
  <c r="O21" i="1" s="1"/>
  <c r="G21" i="1"/>
  <c r="N21" i="1" s="1"/>
  <c r="V20" i="1"/>
  <c r="N20" i="1"/>
  <c r="K20" i="1"/>
  <c r="O20" i="1" s="1"/>
  <c r="G20" i="1"/>
  <c r="V19" i="1"/>
  <c r="O19" i="1"/>
  <c r="N19" i="1"/>
  <c r="K19" i="1"/>
  <c r="G19" i="1"/>
  <c r="V18" i="1"/>
  <c r="N18" i="1" s="1"/>
  <c r="K18" i="1"/>
  <c r="O18" i="1" s="1"/>
  <c r="G18" i="1"/>
  <c r="V17" i="1"/>
  <c r="N17" i="1" s="1"/>
  <c r="K17" i="1"/>
  <c r="O17" i="1" s="1"/>
  <c r="G17" i="1"/>
  <c r="V16" i="1"/>
  <c r="N16" i="1"/>
  <c r="K16" i="1"/>
  <c r="O16" i="1" s="1"/>
  <c r="G16" i="1"/>
  <c r="V15" i="1"/>
  <c r="O15" i="1"/>
  <c r="K15" i="1"/>
  <c r="G15" i="1"/>
  <c r="N15" i="1" s="1"/>
  <c r="V14" i="1"/>
  <c r="N14" i="1" s="1"/>
  <c r="O14" i="1"/>
  <c r="K14" i="1"/>
  <c r="G14" i="1"/>
  <c r="V13" i="1"/>
  <c r="V36" i="1" s="1"/>
  <c r="K13" i="1"/>
  <c r="O13" i="1" s="1"/>
  <c r="G13" i="1"/>
  <c r="N13" i="1" s="1"/>
  <c r="N36" i="1" s="1"/>
  <c r="L47" i="1" s="1"/>
  <c r="V12" i="1"/>
  <c r="N12" i="1"/>
  <c r="K12" i="1"/>
  <c r="O12" i="1" s="1"/>
  <c r="G12" i="1"/>
  <c r="G36" i="1" s="1"/>
  <c r="O36" i="3" l="1"/>
  <c r="N36" i="3"/>
  <c r="L47" i="3" s="1"/>
  <c r="N35" i="2"/>
  <c r="N31" i="2"/>
  <c r="N34" i="2"/>
  <c r="N28" i="2"/>
  <c r="N22" i="2"/>
  <c r="N24" i="2"/>
  <c r="N30" i="2"/>
  <c r="N16" i="2"/>
  <c r="N18" i="2"/>
  <c r="N14" i="2"/>
  <c r="U82" i="2"/>
  <c r="V36" i="2"/>
  <c r="N15" i="2"/>
  <c r="N32" i="2"/>
  <c r="G36" i="2"/>
  <c r="N26" i="2"/>
  <c r="N20" i="2"/>
  <c r="I41" i="2"/>
  <c r="O36" i="2"/>
  <c r="L82" i="2"/>
  <c r="K82" i="2"/>
  <c r="L93" i="2" s="1"/>
  <c r="N12" i="2"/>
  <c r="I41" i="1"/>
  <c r="L82" i="1"/>
  <c r="K82" i="1"/>
  <c r="L93" i="1" s="1"/>
  <c r="O36" i="1"/>
  <c r="U82" i="1"/>
  <c r="N36" i="2" l="1"/>
  <c r="L4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Windows7</author>
  </authors>
  <commentList>
    <comment ref="G4" authorId="0" shapeId="0" xr:uid="{8E04B8C4-05A8-43BD-9930-85A121ACF646}">
      <text>
        <r>
          <rPr>
            <b/>
            <sz val="9"/>
            <color indexed="81"/>
            <rFont val="Tahoma"/>
            <family val="2"/>
          </rPr>
          <t>KWh</t>
        </r>
      </text>
    </comment>
    <comment ref="R4" authorId="0" shapeId="0" xr:uid="{39976110-5241-4480-B639-C9C5F15E09F9}">
      <text>
        <r>
          <rPr>
            <b/>
            <sz val="9"/>
            <color indexed="81"/>
            <rFont val="Tahoma"/>
            <family val="2"/>
          </rPr>
          <t>KWh</t>
        </r>
      </text>
    </comment>
  </commentList>
</comments>
</file>

<file path=xl/sharedStrings.xml><?xml version="1.0" encoding="utf-8"?>
<sst xmlns="http://schemas.openxmlformats.org/spreadsheetml/2006/main" count="5131" uniqueCount="161">
  <si>
    <r>
      <t xml:space="preserve">Código: </t>
    </r>
    <r>
      <rPr>
        <b/>
        <sz val="12"/>
        <rFont val="Arial Narrow"/>
        <family val="2"/>
      </rPr>
      <t>GENE-F05</t>
    </r>
  </si>
  <si>
    <r>
      <t>Titulo:</t>
    </r>
    <r>
      <rPr>
        <sz val="12"/>
        <rFont val="Arial Narrow"/>
        <family val="2"/>
      </rPr>
      <t xml:space="preserve"> Reporte diario de generación  y combustible</t>
    </r>
  </si>
  <si>
    <t>Versión: 0</t>
  </si>
  <si>
    <t>Página 1 de 1</t>
  </si>
  <si>
    <r>
      <t xml:space="preserve">Responsable: </t>
    </r>
    <r>
      <rPr>
        <sz val="12"/>
        <rFont val="Arial Narrow"/>
        <family val="2"/>
      </rPr>
      <t xml:space="preserve">Gerente de Producción </t>
    </r>
  </si>
  <si>
    <t>Fecha: 01/06/2017</t>
  </si>
  <si>
    <t>Día:</t>
  </si>
  <si>
    <t>Mes:</t>
  </si>
  <si>
    <t>Año:</t>
  </si>
  <si>
    <t>Ingeniero Jefe de Turno:</t>
  </si>
  <si>
    <t>GECELCA 3</t>
  </si>
  <si>
    <t>Periodo</t>
  </si>
  <si>
    <t>Energía Activa Bruta</t>
  </si>
  <si>
    <t>Energia Reactiva</t>
  </si>
  <si>
    <t>Energía Neta</t>
  </si>
  <si>
    <t>Consumos</t>
  </si>
  <si>
    <t>Despacho y Redespacho</t>
  </si>
  <si>
    <t>Desvíos</t>
  </si>
  <si>
    <t>Ing. CND que Autoriza</t>
  </si>
  <si>
    <t>Causa del desvío</t>
  </si>
  <si>
    <t>HR</t>
  </si>
  <si>
    <t>Energía desviada</t>
  </si>
  <si>
    <t>Consumo Carbón</t>
  </si>
  <si>
    <t>Consumo de Caliza</t>
  </si>
  <si>
    <t>Consumo de ACPM</t>
  </si>
  <si>
    <t>Generada</t>
  </si>
  <si>
    <t>Consumida</t>
  </si>
  <si>
    <t>G-LN764</t>
  </si>
  <si>
    <t>G-LN765</t>
  </si>
  <si>
    <t>A-LN764</t>
  </si>
  <si>
    <t>A-LN765</t>
  </si>
  <si>
    <t>Alimentador-A</t>
  </si>
  <si>
    <t>Alimentador-B</t>
  </si>
  <si>
    <t>Alimentador-C</t>
  </si>
  <si>
    <t>Alimentador-D</t>
  </si>
  <si>
    <t>Alimentador-E</t>
  </si>
  <si>
    <t>Alimentador-F</t>
  </si>
  <si>
    <t>Total Carbón</t>
  </si>
  <si>
    <t>[KWh]</t>
  </si>
  <si>
    <t>[KVARh]</t>
  </si>
  <si>
    <t>[KVArh]</t>
  </si>
  <si>
    <t>[MWh]</t>
  </si>
  <si>
    <t>[MW]</t>
  </si>
  <si>
    <t>[%]</t>
  </si>
  <si>
    <t>[Ton]</t>
  </si>
  <si>
    <t>[Gal]</t>
  </si>
  <si>
    <t>Totales</t>
  </si>
  <si>
    <t>Horas E/S</t>
  </si>
  <si>
    <t>Horas en Reserva</t>
  </si>
  <si>
    <t>Horas Salidas Forzada</t>
  </si>
  <si>
    <t>Horas Mtto programado</t>
  </si>
  <si>
    <t>Consumo De Auxiliares Lectura en Contadores</t>
  </si>
  <si>
    <t>Consumo De Auxiliares Lectura en barraje      6300 V</t>
  </si>
  <si>
    <t>NOTA:</t>
  </si>
  <si>
    <t>Caldera Auxiliar</t>
  </si>
  <si>
    <t>.</t>
  </si>
  <si>
    <t>Total ACPM</t>
  </si>
  <si>
    <t>[ h ]</t>
  </si>
  <si>
    <t>fdf</t>
  </si>
  <si>
    <t>Activa [ KWh ]</t>
  </si>
  <si>
    <t>Reactiva [ KVARh ]</t>
  </si>
  <si>
    <t>Poder Calorifico Promedio (SGS) - MBTU/TON</t>
  </si>
  <si>
    <t>En el consumo total esta incluido la caldera auxiliar.</t>
  </si>
  <si>
    <t>Eficiencia</t>
  </si>
  <si>
    <t>GECELCA 32</t>
  </si>
  <si>
    <t>Alimentador-1</t>
  </si>
  <si>
    <t>Alimentador-2</t>
  </si>
  <si>
    <t>Alimentador-3</t>
  </si>
  <si>
    <t>Alimentador-4</t>
  </si>
  <si>
    <t>Alimentador-5</t>
  </si>
  <si>
    <t>Alimentador-6</t>
  </si>
  <si>
    <t>Alimentador-7</t>
  </si>
  <si>
    <t>Alimentador-8</t>
  </si>
  <si>
    <t>Alta temperatura en hogar</t>
  </si>
  <si>
    <t>Medidores descalibrados</t>
  </si>
  <si>
    <t>Lectura de consumo de auxiliares el cuarto de 6,3kV se encuentra bloqueado - Pantalla DCS no esta habilitado lectura, No hay indicación de consumo de calliza. En el consumo total esta incluido la caldera auxiliar.</t>
  </si>
  <si>
    <t xml:space="preserve"> </t>
  </si>
  <si>
    <t>David Ortiz</t>
  </si>
  <si>
    <t>Autorizada</t>
  </si>
  <si>
    <t>J. Pardo</t>
  </si>
  <si>
    <t>Correctivo fuga en ciclón LG</t>
  </si>
  <si>
    <t>José Leal</t>
  </si>
  <si>
    <t>Amarildo Reales Silvera</t>
  </si>
  <si>
    <t>Ivan Hernandez</t>
  </si>
  <si>
    <t>Nelson Gomez</t>
  </si>
  <si>
    <t>Juan Chavarro</t>
  </si>
  <si>
    <t>Omar E. Fedullo Rueda</t>
  </si>
  <si>
    <t>Jair Pardo</t>
  </si>
  <si>
    <t>Alejandra Hernandes</t>
  </si>
  <si>
    <t>Ricardo Bolaños</t>
  </si>
  <si>
    <t>Seguridad A. Caribe</t>
  </si>
  <si>
    <t>Altas temperaturas en hogar</t>
  </si>
  <si>
    <t>J. Arango</t>
  </si>
  <si>
    <t>Juan C. Arango</t>
  </si>
  <si>
    <t>Disparo Ventilador ID#2</t>
  </si>
  <si>
    <t>J. Molinares</t>
  </si>
  <si>
    <t>R Bolaños</t>
  </si>
  <si>
    <t>Cesar Muñoz</t>
  </si>
  <si>
    <t>Aldemar Lopez</t>
  </si>
  <si>
    <t>Fuga juanta aire primario</t>
  </si>
  <si>
    <t>Juan C. Jaramillo Sampayo</t>
  </si>
  <si>
    <t>pruebas post mtto</t>
  </si>
  <si>
    <t>pruebas emisiones CEMS</t>
  </si>
  <si>
    <t>Fuga de caldera</t>
  </si>
  <si>
    <t>PCI Mes</t>
  </si>
  <si>
    <t>UNIDAD G3.0</t>
  </si>
  <si>
    <t>UNIDAD G3.2</t>
  </si>
  <si>
    <t>No. Día</t>
  </si>
  <si>
    <t>ener</t>
  </si>
  <si>
    <t>carbon</t>
  </si>
  <si>
    <t>caliza</t>
  </si>
  <si>
    <t>ACPMG3.0</t>
  </si>
  <si>
    <t>aux_fronte</t>
  </si>
  <si>
    <t>Aux_Barraje</t>
  </si>
  <si>
    <t>HeatRate</t>
  </si>
  <si>
    <t>AVG</t>
  </si>
  <si>
    <t>ener bruta</t>
  </si>
  <si>
    <t>Dia 01</t>
  </si>
  <si>
    <t>Dia 02</t>
  </si>
  <si>
    <t>Dia 03</t>
  </si>
  <si>
    <t>Dia 04</t>
  </si>
  <si>
    <t>Dia 05</t>
  </si>
  <si>
    <t>Dia 06</t>
  </si>
  <si>
    <t>Dia 07</t>
  </si>
  <si>
    <t>Dia 08</t>
  </si>
  <si>
    <t>Dia 09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</si>
  <si>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</si>
  <si>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</si>
  <si>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</si>
  <si>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</si>
  <si>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</si>
  <si>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</si>
  <si>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</si>
  <si>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</si>
  <si>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</si>
  <si>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</si>
  <si>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</si>
  <si>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</si>
  <si>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</si>
  <si>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</si>
  <si>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</si>
  <si>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</si>
  <si>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</si>
  <si>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</si>
  <si>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</si>
  <si>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</si>
  <si>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</si>
  <si>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</si>
  <si>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Heat Rate Prom Mes</t>
  </si>
  <si>
    <t>Energía Activa Bruta
DCS</t>
  </si>
  <si>
    <t>Energia Reactiva
CONTADORES</t>
  </si>
  <si>
    <t>Energía Neta
CONTADORES</t>
  </si>
  <si>
    <t>Consumos
CONTADORES</t>
  </si>
  <si>
    <t>Despacho y Redespacho
CND-DESPACHO FINAL</t>
  </si>
  <si>
    <t>Ing. CND que Autoriza
DEL REPORTE de autorizacion</t>
  </si>
  <si>
    <t>Causa del desvío
preguntar causa</t>
  </si>
  <si>
    <t>HR
CALCULO</t>
  </si>
  <si>
    <t>Energía desviada
CALCULO</t>
  </si>
  <si>
    <t>Consumo Carbón
DCS</t>
  </si>
  <si>
    <t>Consumo de Caliza
MANUAL</t>
  </si>
  <si>
    <t>Consumo de ACPM
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</si>
</sst>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1"/>
      <name val="Arial Narrow"/>
      <family val="2"/>
    </font>
    <font>
      <b/>
      <sz val="14"/>
      <name val="Arial Narrow"/>
      <family val="2"/>
    </font>
    <font>
      <b/>
      <sz val="11"/>
      <color indexed="9"/>
      <name val="Arial Narrow"/>
      <family val="2"/>
    </font>
    <font>
      <sz val="11"/>
      <color theme="1"/>
      <name val="Arial Narrow"/>
      <family val="2"/>
    </font>
    <font>
      <sz val="11"/>
      <color indexed="9"/>
      <name val="Arial Narrow"/>
      <family val="2"/>
    </font>
    <font>
      <b/>
      <sz val="10"/>
      <color theme="0"/>
      <name val="Arial Narrow"/>
      <family val="2"/>
    </font>
    <font>
      <sz val="10"/>
      <name val="Arial Narrow"/>
      <family val="2"/>
    </font>
    <font>
      <b/>
      <sz val="11"/>
      <name val="Arial Narrow"/>
      <family val="2"/>
    </font>
    <font>
      <b/>
      <sz val="11"/>
      <color theme="1"/>
      <name val="Arial Narrow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7999816888943144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</cellStyleXfs>
  <cellXfs count="266">
    <xf numFmtId="0" fontId="0" fillId="0" borderId="0" xfId="0"/>
    <xf numFmtId="0" fontId="0" fillId="2" borderId="0" xfId="0" applyFill="1"/>
    <xf numFmtId="0" fontId="5" fillId="2" borderId="0" xfId="2" applyFont="1" applyFill="1" applyAlignment="1">
      <alignment vertical="center"/>
    </xf>
    <xf numFmtId="0" fontId="5" fillId="2" borderId="1" xfId="2" applyFont="1" applyFill="1" applyBorder="1" applyAlignment="1" applyProtection="1">
      <alignment horizontal="center" vertical="center"/>
      <protection locked="0"/>
    </xf>
    <xf numFmtId="0" fontId="5" fillId="2" borderId="9" xfId="2" applyFont="1" applyFill="1" applyBorder="1" applyAlignment="1" applyProtection="1">
      <alignment horizontal="center" vertical="center"/>
      <protection locked="0"/>
    </xf>
    <xf numFmtId="0" fontId="5" fillId="2" borderId="2" xfId="2" applyFont="1" applyFill="1" applyBorder="1" applyAlignment="1" applyProtection="1">
      <alignment horizontal="center" vertical="center"/>
      <protection locked="0"/>
    </xf>
    <xf numFmtId="0" fontId="5" fillId="2" borderId="2" xfId="2" applyFont="1" applyFill="1" applyBorder="1" applyAlignment="1" applyProtection="1">
      <alignment vertical="center"/>
      <protection locked="0"/>
    </xf>
    <xf numFmtId="0" fontId="5" fillId="2" borderId="3" xfId="2" applyFont="1" applyFill="1" applyBorder="1" applyAlignment="1" applyProtection="1">
      <alignment vertical="center"/>
      <protection locked="0"/>
    </xf>
    <xf numFmtId="0" fontId="5" fillId="2" borderId="6" xfId="2" applyFont="1" applyFill="1" applyBorder="1" applyAlignment="1" applyProtection="1">
      <alignment horizontal="right" vertical="center"/>
      <protection locked="0"/>
    </xf>
    <xf numFmtId="0" fontId="5" fillId="2" borderId="7" xfId="2" applyFont="1" applyFill="1" applyBorder="1" applyAlignment="1" applyProtection="1">
      <alignment horizontal="center" vertical="center"/>
      <protection locked="0"/>
    </xf>
    <xf numFmtId="0" fontId="5" fillId="2" borderId="7" xfId="2" applyFont="1" applyFill="1" applyBorder="1" applyAlignment="1" applyProtection="1">
      <alignment horizontal="right" vertical="center"/>
      <protection locked="0"/>
    </xf>
    <xf numFmtId="0" fontId="5" fillId="2" borderId="7" xfId="2" applyFont="1" applyFill="1" applyBorder="1" applyAlignment="1" applyProtection="1">
      <alignment vertical="center"/>
      <protection locked="0"/>
    </xf>
    <xf numFmtId="0" fontId="5" fillId="2" borderId="8" xfId="2" applyFont="1" applyFill="1" applyBorder="1" applyAlignment="1" applyProtection="1">
      <alignment vertical="center"/>
      <protection locked="0"/>
    </xf>
    <xf numFmtId="0" fontId="7" fillId="3" borderId="1" xfId="2" applyFont="1" applyFill="1" applyBorder="1" applyAlignment="1" applyProtection="1">
      <alignment horizontal="center" vertical="center"/>
      <protection locked="0"/>
    </xf>
    <xf numFmtId="0" fontId="7" fillId="3" borderId="19" xfId="2" applyFont="1" applyFill="1" applyBorder="1" applyAlignment="1" applyProtection="1">
      <alignment horizontal="center" vertical="center"/>
      <protection locked="0"/>
    </xf>
    <xf numFmtId="0" fontId="7" fillId="3" borderId="20" xfId="2" applyFont="1" applyFill="1" applyBorder="1" applyAlignment="1" applyProtection="1">
      <alignment horizontal="center" vertical="center"/>
      <protection locked="0"/>
    </xf>
    <xf numFmtId="0" fontId="7" fillId="3" borderId="21" xfId="2" applyFont="1" applyFill="1" applyBorder="1" applyAlignment="1" applyProtection="1">
      <alignment horizontal="center" vertical="center"/>
      <protection locked="0"/>
    </xf>
    <xf numFmtId="0" fontId="7" fillId="3" borderId="4" xfId="2" applyFont="1" applyFill="1" applyBorder="1" applyAlignment="1" applyProtection="1">
      <alignment horizontal="center" vertical="center"/>
      <protection locked="0"/>
    </xf>
    <xf numFmtId="0" fontId="7" fillId="3" borderId="22" xfId="2" applyFont="1" applyFill="1" applyBorder="1" applyAlignment="1" applyProtection="1">
      <alignment horizontal="center" vertical="center"/>
      <protection locked="0"/>
    </xf>
    <xf numFmtId="0" fontId="7" fillId="3" borderId="5" xfId="2" applyFont="1" applyFill="1" applyBorder="1" applyAlignment="1" applyProtection="1">
      <alignment horizontal="center" vertical="center" wrapText="1"/>
      <protection locked="0"/>
    </xf>
    <xf numFmtId="0" fontId="7" fillId="3" borderId="23" xfId="2" applyFont="1" applyFill="1" applyBorder="1" applyAlignment="1" applyProtection="1">
      <alignment vertical="center"/>
      <protection locked="0"/>
    </xf>
    <xf numFmtId="0" fontId="7" fillId="3" borderId="24" xfId="2" applyFont="1" applyFill="1" applyBorder="1" applyAlignment="1" applyProtection="1">
      <alignment vertical="center"/>
      <protection locked="0"/>
    </xf>
    <xf numFmtId="0" fontId="7" fillId="3" borderId="22" xfId="2" applyFont="1" applyFill="1" applyBorder="1" applyAlignment="1" applyProtection="1">
      <alignment vertical="center"/>
      <protection locked="0"/>
    </xf>
    <xf numFmtId="0" fontId="7" fillId="3" borderId="0" xfId="2" applyFont="1" applyFill="1" applyAlignment="1" applyProtection="1">
      <alignment horizontal="center" vertical="center"/>
      <protection locked="0"/>
    </xf>
    <xf numFmtId="0" fontId="7" fillId="3" borderId="23" xfId="2" applyFont="1" applyFill="1" applyBorder="1" applyAlignment="1" applyProtection="1">
      <alignment horizontal="center" vertical="center"/>
      <protection locked="0"/>
    </xf>
    <xf numFmtId="0" fontId="7" fillId="3" borderId="24" xfId="2" applyFont="1" applyFill="1" applyBorder="1" applyAlignment="1" applyProtection="1">
      <alignment horizontal="center" vertical="center"/>
      <protection locked="0"/>
    </xf>
    <xf numFmtId="0" fontId="7" fillId="3" borderId="28" xfId="2" applyFont="1" applyFill="1" applyBorder="1" applyAlignment="1" applyProtection="1">
      <alignment horizontal="center" vertical="center"/>
      <protection locked="0"/>
    </xf>
    <xf numFmtId="0" fontId="5" fillId="0" borderId="29" xfId="2" applyFont="1" applyBorder="1" applyAlignment="1" applyProtection="1">
      <alignment horizontal="center" vertical="center"/>
      <protection locked="0"/>
    </xf>
    <xf numFmtId="164" fontId="5" fillId="0" borderId="30" xfId="2" applyNumberFormat="1" applyFont="1" applyBorder="1" applyAlignment="1" applyProtection="1">
      <alignment horizontal="center"/>
      <protection locked="0"/>
    </xf>
    <xf numFmtId="164" fontId="5" fillId="0" borderId="30" xfId="3" applyNumberFormat="1" applyFont="1" applyBorder="1" applyAlignment="1" applyProtection="1">
      <alignment horizontal="center"/>
      <protection locked="0"/>
    </xf>
    <xf numFmtId="0" fontId="5" fillId="0" borderId="31" xfId="2" applyFont="1" applyBorder="1" applyAlignment="1" applyProtection="1">
      <alignment horizontal="center" vertical="center"/>
      <protection locked="0"/>
    </xf>
    <xf numFmtId="0" fontId="8" fillId="0" borderId="31" xfId="2" applyFont="1" applyBorder="1" applyAlignment="1" applyProtection="1">
      <alignment horizontal="center" vertical="center"/>
      <protection locked="0"/>
    </xf>
    <xf numFmtId="0" fontId="1" fillId="2" borderId="0" xfId="0" applyFont="1" applyFill="1"/>
    <xf numFmtId="0" fontId="5" fillId="0" borderId="32" xfId="2" applyFont="1" applyBorder="1" applyAlignment="1" applyProtection="1">
      <alignment horizontal="center" vertical="center"/>
      <protection locked="0"/>
    </xf>
    <xf numFmtId="0" fontId="5" fillId="0" borderId="27" xfId="2" applyFont="1" applyBorder="1" applyAlignment="1" applyProtection="1">
      <alignment horizontal="center" vertical="center"/>
      <protection locked="0"/>
    </xf>
    <xf numFmtId="4" fontId="5" fillId="0" borderId="33" xfId="2" applyNumberFormat="1" applyFont="1" applyBorder="1" applyAlignment="1" applyProtection="1">
      <alignment horizontal="center" vertical="center"/>
      <protection locked="0"/>
    </xf>
    <xf numFmtId="165" fontId="5" fillId="2" borderId="0" xfId="2" applyNumberFormat="1" applyFont="1" applyFill="1" applyAlignment="1" applyProtection="1">
      <alignment horizontal="right" vertical="center"/>
      <protection locked="0"/>
    </xf>
    <xf numFmtId="4" fontId="5" fillId="2" borderId="0" xfId="2" applyNumberFormat="1" applyFont="1" applyFill="1" applyAlignment="1" applyProtection="1">
      <alignment horizontal="right" vertical="center"/>
      <protection locked="0"/>
    </xf>
    <xf numFmtId="0" fontId="5" fillId="2" borderId="0" xfId="2" applyFont="1" applyFill="1" applyAlignment="1" applyProtection="1">
      <alignment horizontal="right" vertical="center"/>
      <protection locked="0"/>
    </xf>
    <xf numFmtId="164" fontId="5" fillId="0" borderId="34" xfId="2" applyNumberFormat="1" applyFont="1" applyBorder="1" applyAlignment="1" applyProtection="1">
      <alignment horizontal="center" vertical="center"/>
      <protection locked="0"/>
    </xf>
    <xf numFmtId="164" fontId="5" fillId="0" borderId="33" xfId="2" applyNumberFormat="1" applyFont="1" applyBorder="1" applyAlignment="1" applyProtection="1">
      <alignment horizontal="center" vertical="center"/>
      <protection locked="0"/>
    </xf>
    <xf numFmtId="0" fontId="5" fillId="2" borderId="0" xfId="2" applyFont="1" applyFill="1" applyAlignment="1" applyProtection="1">
      <alignment vertical="center"/>
      <protection locked="0"/>
    </xf>
    <xf numFmtId="4" fontId="5" fillId="2" borderId="0" xfId="2" applyNumberFormat="1" applyFont="1" applyFill="1" applyAlignment="1" applyProtection="1">
      <alignment vertical="center"/>
      <protection locked="0"/>
    </xf>
    <xf numFmtId="164" fontId="5" fillId="2" borderId="0" xfId="2" applyNumberFormat="1" applyFont="1" applyFill="1" applyAlignment="1" applyProtection="1">
      <alignment vertical="center"/>
      <protection locked="0"/>
    </xf>
    <xf numFmtId="164" fontId="0" fillId="2" borderId="0" xfId="0" applyNumberFormat="1" applyFill="1"/>
    <xf numFmtId="10" fontId="5" fillId="2" borderId="0" xfId="1" applyNumberFormat="1" applyFont="1" applyFill="1" applyAlignment="1" applyProtection="1">
      <alignment vertical="center"/>
      <protection locked="0"/>
    </xf>
    <xf numFmtId="0" fontId="7" fillId="2" borderId="0" xfId="2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2" applyFont="1" applyFill="1" applyAlignment="1" applyProtection="1">
      <alignment horizontal="center" vertical="center" wrapText="1"/>
      <protection locked="0"/>
    </xf>
    <xf numFmtId="0" fontId="5" fillId="2" borderId="0" xfId="2" applyFont="1" applyFill="1" applyAlignment="1" applyProtection="1">
      <alignment vertical="center" wrapText="1"/>
      <protection locked="0"/>
    </xf>
    <xf numFmtId="0" fontId="10" fillId="4" borderId="29" xfId="2" applyFont="1" applyFill="1" applyBorder="1" applyProtection="1">
      <protection locked="0"/>
    </xf>
    <xf numFmtId="164" fontId="11" fillId="0" borderId="15" xfId="2" applyNumberFormat="1" applyFont="1" applyBorder="1" applyProtection="1">
      <protection locked="0"/>
    </xf>
    <xf numFmtId="0" fontId="10" fillId="4" borderId="32" xfId="2" applyFont="1" applyFill="1" applyBorder="1" applyProtection="1">
      <protection locked="0"/>
    </xf>
    <xf numFmtId="0" fontId="7" fillId="3" borderId="41" xfId="2" applyFont="1" applyFill="1" applyBorder="1" applyAlignment="1" applyProtection="1">
      <alignment horizontal="center" vertical="center"/>
      <protection locked="0"/>
    </xf>
    <xf numFmtId="0" fontId="9" fillId="2" borderId="0" xfId="2" applyFont="1" applyFill="1" applyAlignment="1" applyProtection="1">
      <alignment horizontal="center" vertical="center"/>
      <protection locked="0"/>
    </xf>
    <xf numFmtId="3" fontId="13" fillId="0" borderId="3" xfId="0" applyNumberFormat="1" applyFont="1" applyBorder="1" applyAlignment="1">
      <alignment horizontal="center" vertical="center"/>
    </xf>
    <xf numFmtId="46" fontId="5" fillId="0" borderId="45" xfId="2" applyNumberFormat="1" applyFont="1" applyBorder="1" applyAlignment="1" applyProtection="1">
      <alignment horizontal="right" vertical="center"/>
      <protection locked="0"/>
    </xf>
    <xf numFmtId="46" fontId="5" fillId="0" borderId="45" xfId="2" applyNumberFormat="1" applyFont="1" applyBorder="1" applyAlignment="1" applyProtection="1">
      <alignment vertical="center"/>
      <protection locked="0"/>
    </xf>
    <xf numFmtId="2" fontId="5" fillId="2" borderId="0" xfId="2" applyNumberFormat="1" applyFont="1" applyFill="1" applyAlignment="1" applyProtection="1">
      <alignment vertical="center"/>
      <protection locked="0"/>
    </xf>
    <xf numFmtId="0" fontId="7" fillId="3" borderId="6" xfId="2" applyFont="1" applyFill="1" applyBorder="1" applyAlignment="1" applyProtection="1">
      <alignment horizontal="center" vertical="center"/>
      <protection locked="0"/>
    </xf>
    <xf numFmtId="3" fontId="13" fillId="0" borderId="33" xfId="0" applyNumberFormat="1" applyFont="1" applyBorder="1" applyAlignment="1">
      <alignment horizontal="center" vertical="center"/>
    </xf>
    <xf numFmtId="14" fontId="0" fillId="2" borderId="0" xfId="0" applyNumberFormat="1" applyFill="1"/>
    <xf numFmtId="0" fontId="7" fillId="3" borderId="36" xfId="2" applyFont="1" applyFill="1" applyBorder="1" applyAlignment="1" applyProtection="1">
      <alignment horizontal="center" vertical="center"/>
      <protection locked="0"/>
    </xf>
    <xf numFmtId="0" fontId="7" fillId="3" borderId="42" xfId="2" applyFont="1" applyFill="1" applyBorder="1" applyAlignment="1" applyProtection="1">
      <alignment horizontal="center" vertical="center"/>
      <protection locked="0"/>
    </xf>
    <xf numFmtId="0" fontId="7" fillId="3" borderId="33" xfId="2" applyFont="1" applyFill="1" applyBorder="1" applyAlignment="1" applyProtection="1">
      <alignment horizontal="center" vertical="center"/>
      <protection locked="0"/>
    </xf>
    <xf numFmtId="10" fontId="5" fillId="2" borderId="33" xfId="1" applyNumberFormat="1" applyFont="1" applyFill="1" applyBorder="1" applyAlignment="1" applyProtection="1">
      <alignment horizontal="center" vertical="center"/>
    </xf>
    <xf numFmtId="4" fontId="5" fillId="2" borderId="0" xfId="2" applyNumberFormat="1" applyFont="1" applyFill="1" applyAlignment="1">
      <alignment vertical="center"/>
    </xf>
    <xf numFmtId="0" fontId="5" fillId="2" borderId="36" xfId="2" applyFont="1" applyFill="1" applyBorder="1" applyAlignment="1" applyProtection="1">
      <alignment horizontal="center" vertical="center"/>
      <protection locked="0"/>
    </xf>
    <xf numFmtId="0" fontId="5" fillId="2" borderId="38" xfId="2" applyFont="1" applyFill="1" applyBorder="1" applyAlignment="1" applyProtection="1">
      <alignment vertical="center"/>
      <protection locked="0"/>
    </xf>
    <xf numFmtId="0" fontId="0" fillId="2" borderId="38" xfId="0" applyFill="1" applyBorder="1"/>
    <xf numFmtId="0" fontId="5" fillId="2" borderId="37" xfId="2" applyFont="1" applyFill="1" applyBorder="1" applyAlignment="1" applyProtection="1">
      <alignment vertical="center"/>
      <protection locked="0"/>
    </xf>
    <xf numFmtId="0" fontId="5" fillId="2" borderId="42" xfId="2" applyFont="1" applyFill="1" applyBorder="1" applyAlignment="1" applyProtection="1">
      <alignment horizontal="right" vertical="center"/>
      <protection locked="0"/>
    </xf>
    <xf numFmtId="0" fontId="5" fillId="2" borderId="43" xfId="2" applyFont="1" applyFill="1" applyBorder="1" applyAlignment="1" applyProtection="1">
      <alignment horizontal="center" vertical="center"/>
      <protection locked="0"/>
    </xf>
    <xf numFmtId="0" fontId="5" fillId="2" borderId="43" xfId="2" applyFont="1" applyFill="1" applyBorder="1" applyAlignment="1" applyProtection="1">
      <alignment horizontal="right" vertical="center"/>
      <protection locked="0"/>
    </xf>
    <xf numFmtId="0" fontId="5" fillId="2" borderId="43" xfId="2" applyFont="1" applyFill="1" applyBorder="1" applyAlignment="1" applyProtection="1">
      <alignment vertical="center"/>
      <protection locked="0"/>
    </xf>
    <xf numFmtId="0" fontId="0" fillId="2" borderId="43" xfId="0" applyFill="1" applyBorder="1"/>
    <xf numFmtId="0" fontId="5" fillId="2" borderId="44" xfId="2" applyFont="1" applyFill="1" applyBorder="1" applyAlignment="1" applyProtection="1">
      <alignment vertical="center"/>
      <protection locked="0"/>
    </xf>
    <xf numFmtId="0" fontId="7" fillId="3" borderId="23" xfId="2" applyFont="1" applyFill="1" applyBorder="1" applyAlignment="1" applyProtection="1">
      <alignment horizontal="left" vertical="center"/>
      <protection locked="0"/>
    </xf>
    <xf numFmtId="0" fontId="7" fillId="3" borderId="52" xfId="2" applyFont="1" applyFill="1" applyBorder="1" applyAlignment="1" applyProtection="1">
      <alignment horizontal="center" vertical="center"/>
      <protection locked="0"/>
    </xf>
    <xf numFmtId="0" fontId="7" fillId="3" borderId="32" xfId="2" applyFont="1" applyFill="1" applyBorder="1" applyAlignment="1" applyProtection="1">
      <alignment horizontal="center" vertical="center"/>
      <protection locked="0"/>
    </xf>
    <xf numFmtId="0" fontId="5" fillId="0" borderId="14" xfId="2" applyFont="1" applyBorder="1" applyAlignment="1" applyProtection="1">
      <alignment horizontal="center" vertical="center"/>
      <protection locked="0"/>
    </xf>
    <xf numFmtId="164" fontId="5" fillId="0" borderId="31" xfId="2" applyNumberFormat="1" applyFont="1" applyBorder="1" applyAlignment="1" applyProtection="1">
      <alignment horizontal="center"/>
      <protection locked="0"/>
    </xf>
    <xf numFmtId="4" fontId="5" fillId="0" borderId="31" xfId="2" applyNumberFormat="1" applyFont="1" applyBorder="1" applyAlignment="1" applyProtection="1">
      <alignment horizontal="center"/>
      <protection locked="0"/>
    </xf>
    <xf numFmtId="4" fontId="5" fillId="0" borderId="29" xfId="2" applyNumberFormat="1" applyFont="1" applyBorder="1" applyAlignment="1" applyProtection="1">
      <alignment horizontal="center"/>
      <protection locked="0"/>
    </xf>
    <xf numFmtId="165" fontId="5" fillId="2" borderId="14" xfId="2" applyNumberFormat="1" applyFont="1" applyFill="1" applyBorder="1" applyAlignment="1">
      <alignment horizontal="center" vertical="center"/>
    </xf>
    <xf numFmtId="4" fontId="5" fillId="0" borderId="31" xfId="2" applyNumberFormat="1" applyFont="1" applyBorder="1" applyAlignment="1" applyProtection="1">
      <alignment horizontal="center" vertical="center"/>
      <protection locked="0"/>
    </xf>
    <xf numFmtId="165" fontId="5" fillId="2" borderId="31" xfId="2" applyNumberFormat="1" applyFont="1" applyFill="1" applyBorder="1" applyAlignment="1" applyProtection="1">
      <alignment horizontal="center" vertical="center"/>
      <protection locked="0"/>
    </xf>
    <xf numFmtId="165" fontId="5" fillId="2" borderId="53" xfId="2" applyNumberFormat="1" applyFont="1" applyFill="1" applyBorder="1" applyAlignment="1">
      <alignment horizontal="center" vertical="center"/>
    </xf>
    <xf numFmtId="4" fontId="5" fillId="2" borderId="53" xfId="2" applyNumberFormat="1" applyFont="1" applyFill="1" applyBorder="1" applyAlignment="1">
      <alignment horizontal="center" vertical="center"/>
    </xf>
    <xf numFmtId="164" fontId="0" fillId="0" borderId="0" xfId="0" applyNumberFormat="1"/>
    <xf numFmtId="0" fontId="5" fillId="0" borderId="48" xfId="2" applyFont="1" applyBorder="1" applyAlignment="1" applyProtection="1">
      <alignment horizontal="center" vertical="center"/>
      <protection locked="0"/>
    </xf>
    <xf numFmtId="165" fontId="5" fillId="2" borderId="48" xfId="2" applyNumberFormat="1" applyFont="1" applyFill="1" applyBorder="1" applyAlignment="1">
      <alignment horizontal="center" vertical="center"/>
    </xf>
    <xf numFmtId="4" fontId="5" fillId="0" borderId="53" xfId="2" applyNumberFormat="1" applyFont="1" applyBorder="1" applyAlignment="1">
      <alignment horizontal="center" vertical="center"/>
    </xf>
    <xf numFmtId="0" fontId="14" fillId="0" borderId="0" xfId="0" applyFont="1"/>
    <xf numFmtId="0" fontId="14" fillId="2" borderId="0" xfId="0" applyFont="1" applyFill="1"/>
    <xf numFmtId="0" fontId="5" fillId="0" borderId="52" xfId="2" applyFont="1" applyBorder="1" applyAlignment="1" applyProtection="1">
      <alignment horizontal="center" vertical="center"/>
      <protection locked="0"/>
    </xf>
    <xf numFmtId="4" fontId="5" fillId="0" borderId="54" xfId="2" applyNumberFormat="1" applyFont="1" applyBorder="1" applyAlignment="1" applyProtection="1">
      <alignment horizontal="center"/>
      <protection locked="0"/>
    </xf>
    <xf numFmtId="4" fontId="5" fillId="0" borderId="32" xfId="2" applyNumberFormat="1" applyFont="1" applyBorder="1" applyAlignment="1" applyProtection="1">
      <alignment horizontal="center"/>
      <protection locked="0"/>
    </xf>
    <xf numFmtId="165" fontId="5" fillId="2" borderId="52" xfId="2" applyNumberFormat="1" applyFont="1" applyFill="1" applyBorder="1" applyAlignment="1">
      <alignment horizontal="center" vertical="center"/>
    </xf>
    <xf numFmtId="165" fontId="5" fillId="2" borderId="54" xfId="2" applyNumberFormat="1" applyFont="1" applyFill="1" applyBorder="1" applyAlignment="1" applyProtection="1">
      <alignment horizontal="center" vertical="center"/>
      <protection locked="0"/>
    </xf>
    <xf numFmtId="0" fontId="5" fillId="2" borderId="27" xfId="2" applyFont="1" applyFill="1" applyBorder="1" applyAlignment="1" applyProtection="1">
      <alignment horizontal="center" vertical="center"/>
      <protection locked="0"/>
    </xf>
    <xf numFmtId="4" fontId="5" fillId="0" borderId="27" xfId="2" applyNumberFormat="1" applyFont="1" applyBorder="1" applyAlignment="1" applyProtection="1">
      <alignment horizontal="center" vertical="center"/>
      <protection locked="0"/>
    </xf>
    <xf numFmtId="0" fontId="5" fillId="2" borderId="0" xfId="2" applyFont="1" applyFill="1" applyAlignment="1" applyProtection="1">
      <alignment horizontal="center" vertical="center"/>
      <protection locked="0"/>
    </xf>
    <xf numFmtId="4" fontId="5" fillId="2" borderId="0" xfId="2" applyNumberFormat="1" applyFont="1" applyFill="1" applyAlignment="1" applyProtection="1">
      <alignment horizontal="center" vertical="center"/>
      <protection locked="0"/>
    </xf>
    <xf numFmtId="4" fontId="5" fillId="0" borderId="5" xfId="2" applyNumberFormat="1" applyFont="1" applyBorder="1" applyAlignment="1" applyProtection="1">
      <alignment horizontal="center" vertical="center"/>
      <protection locked="0"/>
    </xf>
    <xf numFmtId="165" fontId="5" fillId="2" borderId="33" xfId="2" applyNumberFormat="1" applyFont="1" applyFill="1" applyBorder="1" applyAlignment="1" applyProtection="1">
      <alignment horizontal="center" vertical="center"/>
      <protection locked="0"/>
    </xf>
    <xf numFmtId="2" fontId="0" fillId="2" borderId="0" xfId="0" applyNumberFormat="1" applyFill="1"/>
    <xf numFmtId="20" fontId="5" fillId="2" borderId="0" xfId="2" applyNumberFormat="1" applyFont="1" applyFill="1" applyAlignment="1" applyProtection="1">
      <alignment vertical="center"/>
      <protection locked="0"/>
    </xf>
    <xf numFmtId="165" fontId="5" fillId="2" borderId="0" xfId="2" applyNumberFormat="1" applyFont="1" applyFill="1" applyAlignment="1" applyProtection="1">
      <alignment vertical="center"/>
      <protection locked="0"/>
    </xf>
    <xf numFmtId="0" fontId="5" fillId="0" borderId="0" xfId="2" applyFont="1" applyAlignment="1" applyProtection="1">
      <alignment vertical="center"/>
      <protection locked="0"/>
    </xf>
    <xf numFmtId="164" fontId="5" fillId="0" borderId="15" xfId="2" applyNumberFormat="1" applyFont="1" applyBorder="1" applyProtection="1">
      <protection locked="0"/>
    </xf>
    <xf numFmtId="4" fontId="0" fillId="2" borderId="0" xfId="0" applyNumberFormat="1" applyFill="1"/>
    <xf numFmtId="4" fontId="5" fillId="0" borderId="30" xfId="3" applyNumberFormat="1" applyFont="1" applyBorder="1" applyAlignment="1" applyProtection="1">
      <alignment horizontal="center"/>
      <protection locked="0"/>
    </xf>
    <xf numFmtId="3" fontId="12" fillId="0" borderId="3" xfId="0" applyNumberFormat="1" applyFont="1" applyBorder="1" applyAlignment="1">
      <alignment horizontal="center" vertical="center"/>
    </xf>
    <xf numFmtId="3" fontId="12" fillId="0" borderId="33" xfId="0" applyNumberFormat="1" applyFont="1" applyBorder="1" applyAlignment="1">
      <alignment horizontal="center" vertical="center"/>
    </xf>
    <xf numFmtId="4" fontId="5" fillId="0" borderId="32" xfId="2" applyNumberFormat="1" applyFont="1" applyBorder="1" applyAlignment="1" applyProtection="1">
      <alignment horizontal="center" vertical="center"/>
      <protection locked="0"/>
    </xf>
    <xf numFmtId="164" fontId="5" fillId="0" borderId="55" xfId="2" applyNumberFormat="1" applyFont="1" applyBorder="1" applyAlignment="1" applyProtection="1">
      <alignment horizontal="center"/>
      <protection locked="0"/>
    </xf>
    <xf numFmtId="164" fontId="5" fillId="0" borderId="32" xfId="2" applyNumberFormat="1" applyFont="1" applyBorder="1" applyAlignment="1" applyProtection="1">
      <alignment horizontal="center"/>
      <protection locked="0"/>
    </xf>
    <xf numFmtId="164" fontId="5" fillId="5" borderId="34" xfId="2" applyNumberFormat="1" applyFont="1" applyFill="1" applyBorder="1" applyAlignment="1" applyProtection="1">
      <alignment horizontal="center" vertical="center"/>
      <protection locked="0"/>
    </xf>
    <xf numFmtId="0" fontId="0" fillId="0" borderId="33" xfId="0" applyBorder="1"/>
    <xf numFmtId="0" fontId="16" fillId="0" borderId="0" xfId="0" applyFont="1"/>
    <xf numFmtId="0" fontId="0" fillId="2" borderId="4" xfId="0" applyFill="1" applyBorder="1"/>
    <xf numFmtId="0" fontId="14" fillId="0" borderId="23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14" fillId="0" borderId="2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2" borderId="56" xfId="0" applyFill="1" applyBorder="1"/>
    <xf numFmtId="4" fontId="0" fillId="2" borderId="57" xfId="0" applyNumberFormat="1" applyFill="1" applyBorder="1"/>
    <xf numFmtId="4" fontId="0" fillId="2" borderId="58" xfId="0" applyNumberFormat="1" applyFill="1" applyBorder="1"/>
    <xf numFmtId="4" fontId="0" fillId="2" borderId="59" xfId="0" applyNumberFormat="1" applyFill="1" applyBorder="1"/>
    <xf numFmtId="4" fontId="0" fillId="6" borderId="58" xfId="0" applyNumberFormat="1" applyFill="1" applyBorder="1"/>
    <xf numFmtId="4" fontId="0" fillId="2" borderId="60" xfId="0" applyNumberFormat="1" applyFill="1" applyBorder="1"/>
    <xf numFmtId="4" fontId="0" fillId="2" borderId="29" xfId="0" applyNumberFormat="1" applyFill="1" applyBorder="1"/>
    <xf numFmtId="0" fontId="0" fillId="2" borderId="30" xfId="0" applyFill="1" applyBorder="1"/>
    <xf numFmtId="4" fontId="0" fillId="2" borderId="61" xfId="0" applyNumberFormat="1" applyFill="1" applyBorder="1"/>
    <xf numFmtId="4" fontId="0" fillId="2" borderId="45" xfId="0" applyNumberFormat="1" applyFill="1" applyBorder="1"/>
    <xf numFmtId="4" fontId="0" fillId="2" borderId="62" xfId="0" applyNumberFormat="1" applyFill="1" applyBorder="1"/>
    <xf numFmtId="4" fontId="0" fillId="6" borderId="45" xfId="0" applyNumberFormat="1" applyFill="1" applyBorder="1"/>
    <xf numFmtId="4" fontId="0" fillId="2" borderId="63" xfId="0" applyNumberFormat="1" applyFill="1" applyBorder="1"/>
    <xf numFmtId="4" fontId="0" fillId="2" borderId="31" xfId="0" applyNumberFormat="1" applyFill="1" applyBorder="1"/>
    <xf numFmtId="4" fontId="0" fillId="0" borderId="45" xfId="0" applyNumberFormat="1" applyBorder="1"/>
    <xf numFmtId="0" fontId="0" fillId="2" borderId="55" xfId="0" applyFill="1" applyBorder="1"/>
    <xf numFmtId="4" fontId="0" fillId="2" borderId="64" xfId="0" applyNumberFormat="1" applyFill="1" applyBorder="1"/>
    <xf numFmtId="4" fontId="0" fillId="2" borderId="65" xfId="0" applyNumberFormat="1" applyFill="1" applyBorder="1"/>
    <xf numFmtId="4" fontId="0" fillId="2" borderId="66" xfId="0" applyNumberFormat="1" applyFill="1" applyBorder="1"/>
    <xf numFmtId="4" fontId="0" fillId="6" borderId="65" xfId="0" applyNumberFormat="1" applyFill="1" applyBorder="1"/>
    <xf numFmtId="4" fontId="0" fillId="2" borderId="28" xfId="0" applyNumberFormat="1" applyFill="1" applyBorder="1"/>
    <xf numFmtId="4" fontId="0" fillId="2" borderId="32" xfId="0" applyNumberFormat="1" applyFill="1" applyBorder="1"/>
    <xf numFmtId="4" fontId="0" fillId="0" borderId="65" xfId="0" applyNumberFormat="1" applyBorder="1"/>
    <xf numFmtId="4" fontId="0" fillId="0" borderId="67" xfId="0" applyNumberFormat="1" applyBorder="1"/>
    <xf numFmtId="4" fontId="0" fillId="0" borderId="68" xfId="0" applyNumberFormat="1" applyBorder="1"/>
    <xf numFmtId="4" fontId="0" fillId="0" borderId="69" xfId="0" applyNumberFormat="1" applyBorder="1"/>
    <xf numFmtId="4" fontId="0" fillId="6" borderId="27" xfId="0" applyNumberFormat="1" applyFill="1" applyBorder="1"/>
    <xf numFmtId="4" fontId="0" fillId="0" borderId="27" xfId="0" applyNumberFormat="1" applyBorder="1"/>
    <xf numFmtId="4" fontId="17" fillId="2" borderId="27" xfId="0" applyNumberFormat="1" applyFont="1" applyFill="1" applyBorder="1"/>
    <xf numFmtId="4" fontId="0" fillId="0" borderId="0" xfId="0" applyNumberFormat="1"/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5" fillId="0" borderId="6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7" fillId="3" borderId="39" xfId="2" applyFont="1" applyFill="1" applyBorder="1" applyAlignment="1" applyProtection="1">
      <alignment horizontal="center" vertical="center" wrapText="1"/>
      <protection locked="0"/>
    </xf>
    <xf numFmtId="0" fontId="7" fillId="3" borderId="0" xfId="2" applyFont="1" applyFill="1" applyAlignment="1" applyProtection="1">
      <alignment horizontal="center" vertical="center" wrapText="1"/>
      <protection locked="0"/>
    </xf>
    <xf numFmtId="0" fontId="7" fillId="3" borderId="36" xfId="2" applyFont="1" applyFill="1" applyBorder="1" applyAlignment="1" applyProtection="1">
      <alignment horizontal="center" vertical="center"/>
      <protection locked="0"/>
    </xf>
    <xf numFmtId="0" fontId="7" fillId="3" borderId="42" xfId="2" applyFont="1" applyFill="1" applyBorder="1" applyAlignment="1" applyProtection="1">
      <alignment horizontal="center" vertical="center"/>
      <protection locked="0"/>
    </xf>
    <xf numFmtId="0" fontId="5" fillId="2" borderId="38" xfId="2" applyFont="1" applyFill="1" applyBorder="1" applyAlignment="1" applyProtection="1">
      <alignment horizontal="left" vertical="center" wrapText="1"/>
      <protection locked="0"/>
    </xf>
    <xf numFmtId="0" fontId="5" fillId="2" borderId="37" xfId="2" applyFont="1" applyFill="1" applyBorder="1" applyAlignment="1" applyProtection="1">
      <alignment horizontal="left" vertical="center" wrapText="1"/>
      <protection locked="0"/>
    </xf>
    <xf numFmtId="0" fontId="5" fillId="2" borderId="43" xfId="2" applyFont="1" applyFill="1" applyBorder="1" applyAlignment="1" applyProtection="1">
      <alignment horizontal="left" vertical="center" wrapText="1"/>
      <protection locked="0"/>
    </xf>
    <xf numFmtId="0" fontId="5" fillId="2" borderId="44" xfId="2" applyFont="1" applyFill="1" applyBorder="1" applyAlignment="1" applyProtection="1">
      <alignment horizontal="left" vertical="center" wrapText="1"/>
      <protection locked="0"/>
    </xf>
    <xf numFmtId="0" fontId="7" fillId="3" borderId="39" xfId="2" applyFont="1" applyFill="1" applyBorder="1" applyAlignment="1" applyProtection="1">
      <alignment horizontal="center" vertical="center"/>
      <protection locked="0"/>
    </xf>
    <xf numFmtId="0" fontId="7" fillId="3" borderId="0" xfId="2" applyFont="1" applyFill="1" applyAlignment="1" applyProtection="1">
      <alignment horizontal="center" vertical="center"/>
      <protection locked="0"/>
    </xf>
    <xf numFmtId="3" fontId="5" fillId="2" borderId="10" xfId="2" applyNumberFormat="1" applyFont="1" applyFill="1" applyBorder="1" applyAlignment="1" applyProtection="1">
      <alignment horizontal="center" vertical="center"/>
      <protection locked="0"/>
    </xf>
    <xf numFmtId="3" fontId="5" fillId="2" borderId="12" xfId="2" applyNumberFormat="1" applyFont="1" applyFill="1" applyBorder="1" applyAlignment="1" applyProtection="1">
      <alignment horizontal="center" vertical="center"/>
      <protection locked="0"/>
    </xf>
    <xf numFmtId="0" fontId="7" fillId="3" borderId="36" xfId="2" applyFont="1" applyFill="1" applyBorder="1" applyAlignment="1" applyProtection="1">
      <alignment horizontal="center" vertical="center" wrapText="1"/>
      <protection locked="0"/>
    </xf>
    <xf numFmtId="0" fontId="7" fillId="3" borderId="37" xfId="2" applyFont="1" applyFill="1" applyBorder="1" applyAlignment="1" applyProtection="1">
      <alignment horizontal="center" vertical="center" wrapText="1"/>
      <protection locked="0"/>
    </xf>
    <xf numFmtId="0" fontId="7" fillId="3" borderId="42" xfId="2" applyFont="1" applyFill="1" applyBorder="1" applyAlignment="1" applyProtection="1">
      <alignment horizontal="center" vertical="center" wrapText="1"/>
      <protection locked="0"/>
    </xf>
    <xf numFmtId="0" fontId="7" fillId="3" borderId="40" xfId="2" applyFont="1" applyFill="1" applyBorder="1" applyAlignment="1" applyProtection="1">
      <alignment horizontal="center" vertical="center" wrapText="1"/>
      <protection locked="0"/>
    </xf>
    <xf numFmtId="0" fontId="7" fillId="3" borderId="35" xfId="2" applyFont="1" applyFill="1" applyBorder="1" applyAlignment="1" applyProtection="1">
      <alignment horizontal="center" vertical="center"/>
      <protection locked="0"/>
    </xf>
    <xf numFmtId="0" fontId="7" fillId="3" borderId="24" xfId="2" applyFont="1" applyFill="1" applyBorder="1" applyAlignment="1" applyProtection="1">
      <alignment horizontal="center" vertical="center"/>
      <protection locked="0"/>
    </xf>
    <xf numFmtId="0" fontId="7" fillId="3" borderId="41" xfId="2" applyFont="1" applyFill="1" applyBorder="1" applyAlignment="1" applyProtection="1">
      <alignment horizontal="center" vertical="center"/>
      <protection locked="0"/>
    </xf>
    <xf numFmtId="0" fontId="5" fillId="2" borderId="36" xfId="2" applyFont="1" applyFill="1" applyBorder="1" applyAlignment="1" applyProtection="1">
      <alignment horizontal="left" vertical="center" wrapText="1"/>
      <protection locked="0"/>
    </xf>
    <xf numFmtId="0" fontId="5" fillId="2" borderId="39" xfId="2" applyFont="1" applyFill="1" applyBorder="1" applyAlignment="1" applyProtection="1">
      <alignment horizontal="left" vertical="center" wrapText="1"/>
      <protection locked="0"/>
    </xf>
    <xf numFmtId="0" fontId="5" fillId="2" borderId="0" xfId="2" applyFont="1" applyFill="1" applyAlignment="1" applyProtection="1">
      <alignment horizontal="left" vertical="center" wrapText="1"/>
      <protection locked="0"/>
    </xf>
    <xf numFmtId="0" fontId="5" fillId="2" borderId="40" xfId="2" applyFont="1" applyFill="1" applyBorder="1" applyAlignment="1" applyProtection="1">
      <alignment horizontal="left" vertical="center" wrapText="1"/>
      <protection locked="0"/>
    </xf>
    <xf numFmtId="0" fontId="5" fillId="2" borderId="42" xfId="2" applyFont="1" applyFill="1" applyBorder="1" applyAlignment="1" applyProtection="1">
      <alignment horizontal="left" vertical="center" wrapText="1"/>
      <protection locked="0"/>
    </xf>
    <xf numFmtId="0" fontId="7" fillId="3" borderId="17" xfId="2" applyFont="1" applyFill="1" applyBorder="1" applyAlignment="1" applyProtection="1">
      <alignment horizontal="center" vertical="center" wrapText="1"/>
      <protection locked="0"/>
    </xf>
    <xf numFmtId="0" fontId="7" fillId="3" borderId="24" xfId="2" applyFont="1" applyFill="1" applyBorder="1" applyAlignment="1" applyProtection="1">
      <alignment horizontal="center" vertical="center" wrapText="1"/>
      <protection locked="0"/>
    </xf>
    <xf numFmtId="0" fontId="7" fillId="3" borderId="47" xfId="2" applyFont="1" applyFill="1" applyBorder="1" applyAlignment="1" applyProtection="1">
      <alignment horizontal="center" vertical="center" wrapText="1"/>
      <protection locked="0"/>
    </xf>
    <xf numFmtId="0" fontId="7" fillId="3" borderId="3" xfId="2" applyFont="1" applyFill="1" applyBorder="1" applyAlignment="1" applyProtection="1">
      <alignment horizontal="center" vertical="center" wrapText="1"/>
      <protection locked="0"/>
    </xf>
    <xf numFmtId="0" fontId="7" fillId="3" borderId="5" xfId="2" applyFont="1" applyFill="1" applyBorder="1" applyAlignment="1" applyProtection="1">
      <alignment horizontal="center" vertical="center" wrapText="1"/>
      <protection locked="0"/>
    </xf>
    <xf numFmtId="0" fontId="7" fillId="3" borderId="1" xfId="2" applyFont="1" applyFill="1" applyBorder="1" applyAlignment="1" applyProtection="1">
      <alignment horizontal="center" vertical="center"/>
      <protection locked="0"/>
    </xf>
    <xf numFmtId="0" fontId="7" fillId="3" borderId="2" xfId="2" applyFont="1" applyFill="1" applyBorder="1" applyAlignment="1" applyProtection="1">
      <alignment horizontal="center" vertical="center"/>
      <protection locked="0"/>
    </xf>
    <xf numFmtId="0" fontId="7" fillId="3" borderId="3" xfId="2" applyFont="1" applyFill="1" applyBorder="1" applyAlignment="1" applyProtection="1">
      <alignment horizontal="center" vertical="center"/>
      <protection locked="0"/>
    </xf>
    <xf numFmtId="4" fontId="12" fillId="0" borderId="40" xfId="2" applyNumberFormat="1" applyFont="1" applyBorder="1" applyAlignment="1" applyProtection="1">
      <alignment horizontal="center" vertical="center"/>
      <protection locked="0"/>
    </xf>
    <xf numFmtId="4" fontId="12" fillId="0" borderId="44" xfId="2" applyNumberFormat="1" applyFont="1" applyBorder="1" applyAlignment="1" applyProtection="1">
      <alignment horizontal="center" vertical="center"/>
      <protection locked="0"/>
    </xf>
    <xf numFmtId="0" fontId="7" fillId="3" borderId="35" xfId="2" applyFont="1" applyFill="1" applyBorder="1" applyAlignment="1" applyProtection="1">
      <alignment horizontal="center" vertical="center" wrapText="1"/>
      <protection locked="0"/>
    </xf>
    <xf numFmtId="0" fontId="5" fillId="2" borderId="38" xfId="2" applyFont="1" applyFill="1" applyBorder="1" applyAlignment="1" applyProtection="1">
      <alignment horizontal="center" vertical="center"/>
      <protection locked="0"/>
    </xf>
    <xf numFmtId="0" fontId="5" fillId="2" borderId="46" xfId="2" applyFont="1" applyFill="1" applyBorder="1" applyAlignment="1" applyProtection="1">
      <alignment horizontal="center" vertical="center"/>
      <protection locked="0"/>
    </xf>
    <xf numFmtId="0" fontId="6" fillId="2" borderId="6" xfId="2" applyFont="1" applyFill="1" applyBorder="1" applyAlignment="1" applyProtection="1">
      <alignment horizontal="center" vertical="center"/>
      <protection locked="0"/>
    </xf>
    <xf numFmtId="0" fontId="6" fillId="2" borderId="7" xfId="2" applyFont="1" applyFill="1" applyBorder="1" applyAlignment="1" applyProtection="1">
      <alignment horizontal="center" vertical="center"/>
      <protection locked="0"/>
    </xf>
    <xf numFmtId="0" fontId="7" fillId="3" borderId="14" xfId="2" applyFont="1" applyFill="1" applyBorder="1" applyAlignment="1" applyProtection="1">
      <alignment horizontal="center" vertical="center"/>
      <protection locked="0"/>
    </xf>
    <xf numFmtId="0" fontId="7" fillId="3" borderId="48" xfId="2" applyFont="1" applyFill="1" applyBorder="1" applyAlignment="1" applyProtection="1">
      <alignment horizontal="center" vertical="center"/>
      <protection locked="0"/>
    </xf>
    <xf numFmtId="0" fontId="7" fillId="3" borderId="51" xfId="2" applyFont="1" applyFill="1" applyBorder="1" applyAlignment="1" applyProtection="1">
      <alignment vertical="center"/>
      <protection locked="0"/>
    </xf>
    <xf numFmtId="0" fontId="7" fillId="3" borderId="13" xfId="2" applyFont="1" applyFill="1" applyBorder="1" applyAlignment="1" applyProtection="1">
      <alignment horizontal="center" vertical="center" wrapText="1"/>
      <protection locked="0"/>
    </xf>
    <xf numFmtId="0" fontId="7" fillId="3" borderId="19" xfId="2" applyFont="1" applyFill="1" applyBorder="1" applyAlignment="1" applyProtection="1">
      <alignment horizontal="center" vertical="center" wrapText="1"/>
      <protection locked="0"/>
    </xf>
    <xf numFmtId="0" fontId="7" fillId="3" borderId="15" xfId="2" applyFont="1" applyFill="1" applyBorder="1" applyAlignment="1" applyProtection="1">
      <alignment horizontal="center" vertical="center"/>
      <protection locked="0"/>
    </xf>
    <xf numFmtId="0" fontId="7" fillId="3" borderId="4" xfId="2" applyFont="1" applyFill="1" applyBorder="1" applyAlignment="1" applyProtection="1">
      <alignment vertical="center"/>
      <protection locked="0"/>
    </xf>
    <xf numFmtId="0" fontId="7" fillId="3" borderId="5" xfId="2" applyFont="1" applyFill="1" applyBorder="1" applyAlignment="1" applyProtection="1">
      <alignment horizontal="center" vertical="center"/>
      <protection locked="0"/>
    </xf>
    <xf numFmtId="0" fontId="7" fillId="3" borderId="16" xfId="2" applyFont="1" applyFill="1" applyBorder="1" applyAlignment="1" applyProtection="1">
      <alignment horizontal="center" vertical="center" wrapText="1"/>
      <protection locked="0"/>
    </xf>
    <xf numFmtId="0" fontId="7" fillId="3" borderId="23" xfId="2" applyFont="1" applyFill="1" applyBorder="1" applyAlignment="1" applyProtection="1">
      <alignment horizontal="center" vertical="center" wrapText="1"/>
      <protection locked="0"/>
    </xf>
    <xf numFmtId="0" fontId="7" fillId="3" borderId="50" xfId="2" applyFont="1" applyFill="1" applyBorder="1" applyAlignment="1" applyProtection="1">
      <alignment horizontal="center" vertical="center" wrapText="1"/>
      <protection locked="0"/>
    </xf>
    <xf numFmtId="0" fontId="7" fillId="3" borderId="1" xfId="2" applyFont="1" applyFill="1" applyBorder="1" applyAlignment="1" applyProtection="1">
      <alignment horizontal="center" vertical="center" wrapText="1"/>
      <protection locked="0"/>
    </xf>
    <xf numFmtId="0" fontId="7" fillId="3" borderId="49" xfId="2" applyFont="1" applyFill="1" applyBorder="1" applyAlignment="1" applyProtection="1">
      <alignment horizontal="center" vertical="center" wrapText="1"/>
      <protection locked="0"/>
    </xf>
    <xf numFmtId="0" fontId="7" fillId="3" borderId="13" xfId="2" applyFont="1" applyFill="1" applyBorder="1" applyAlignment="1" applyProtection="1">
      <alignment horizontal="center" vertical="center"/>
      <protection locked="0"/>
    </xf>
    <xf numFmtId="0" fontId="7" fillId="3" borderId="27" xfId="2" applyFont="1" applyFill="1" applyBorder="1" applyAlignment="1" applyProtection="1">
      <alignment horizontal="center" vertical="center"/>
      <protection locked="0"/>
    </xf>
    <xf numFmtId="4" fontId="12" fillId="0" borderId="13" xfId="2" applyNumberFormat="1" applyFont="1" applyBorder="1" applyAlignment="1" applyProtection="1">
      <alignment horizontal="center" vertical="center"/>
      <protection locked="0"/>
    </xf>
    <xf numFmtId="4" fontId="12" fillId="0" borderId="27" xfId="2" applyNumberFormat="1" applyFont="1" applyBorder="1" applyAlignment="1" applyProtection="1">
      <alignment horizontal="center" vertical="center"/>
      <protection locked="0"/>
    </xf>
    <xf numFmtId="0" fontId="5" fillId="2" borderId="38" xfId="2" applyFont="1" applyFill="1" applyBorder="1" applyAlignment="1" applyProtection="1">
      <alignment horizontal="center" vertical="center" wrapText="1"/>
      <protection locked="0"/>
    </xf>
    <xf numFmtId="0" fontId="5" fillId="2" borderId="37" xfId="2" applyFont="1" applyFill="1" applyBorder="1" applyAlignment="1" applyProtection="1">
      <alignment horizontal="center" vertical="center" wrapText="1"/>
      <protection locked="0"/>
    </xf>
    <xf numFmtId="0" fontId="5" fillId="2" borderId="43" xfId="2" applyFont="1" applyFill="1" applyBorder="1" applyAlignment="1" applyProtection="1">
      <alignment horizontal="center" vertical="center" wrapText="1"/>
      <protection locked="0"/>
    </xf>
    <xf numFmtId="0" fontId="5" fillId="2" borderId="44" xfId="2" applyFont="1" applyFill="1" applyBorder="1" applyAlignment="1" applyProtection="1">
      <alignment horizontal="center" vertical="center" wrapText="1"/>
      <protection locked="0"/>
    </xf>
    <xf numFmtId="0" fontId="7" fillId="3" borderId="6" xfId="2" applyFont="1" applyFill="1" applyBorder="1" applyAlignment="1" applyProtection="1">
      <alignment horizontal="center" vertical="center"/>
      <protection locked="0"/>
    </xf>
    <xf numFmtId="0" fontId="7" fillId="3" borderId="8" xfId="2" applyFont="1" applyFill="1" applyBorder="1" applyAlignment="1" applyProtection="1">
      <alignment horizontal="center" vertical="center"/>
      <protection locked="0"/>
    </xf>
    <xf numFmtId="0" fontId="5" fillId="0" borderId="10" xfId="2" applyFont="1" applyBorder="1" applyAlignment="1" applyProtection="1">
      <alignment horizontal="center" vertical="center"/>
      <protection locked="0"/>
    </xf>
    <xf numFmtId="0" fontId="5" fillId="0" borderId="12" xfId="2" applyFont="1" applyBorder="1" applyAlignment="1" applyProtection="1">
      <alignment horizontal="center" vertical="center"/>
      <protection locked="0"/>
    </xf>
    <xf numFmtId="0" fontId="7" fillId="3" borderId="6" xfId="2" applyFont="1" applyFill="1" applyBorder="1" applyAlignment="1" applyProtection="1">
      <alignment horizontal="center" vertical="center" wrapText="1"/>
      <protection locked="0"/>
    </xf>
    <xf numFmtId="0" fontId="7" fillId="3" borderId="18" xfId="2" applyFont="1" applyFill="1" applyBorder="1" applyAlignment="1" applyProtection="1">
      <alignment horizontal="center" vertical="center" wrapText="1"/>
      <protection locked="0"/>
    </xf>
    <xf numFmtId="0" fontId="7" fillId="3" borderId="22" xfId="2" applyFont="1" applyFill="1" applyBorder="1" applyAlignment="1" applyProtection="1">
      <alignment horizontal="center" vertical="center" wrapText="1"/>
      <protection locked="0"/>
    </xf>
    <xf numFmtId="0" fontId="7" fillId="3" borderId="2" xfId="2" applyFont="1" applyFill="1" applyBorder="1" applyAlignment="1" applyProtection="1">
      <alignment horizontal="center" vertical="center" wrapText="1"/>
      <protection locked="0"/>
    </xf>
    <xf numFmtId="0" fontId="7" fillId="3" borderId="10" xfId="2" applyFont="1" applyFill="1" applyBorder="1" applyAlignment="1" applyProtection="1">
      <alignment horizontal="center" vertical="center"/>
      <protection locked="0"/>
    </xf>
    <xf numFmtId="0" fontId="7" fillId="3" borderId="11" xfId="2" applyFont="1" applyFill="1" applyBorder="1" applyAlignment="1" applyProtection="1">
      <alignment horizontal="center" vertical="center"/>
      <protection locked="0"/>
    </xf>
    <xf numFmtId="0" fontId="7" fillId="3" borderId="12" xfId="2" applyFont="1" applyFill="1" applyBorder="1" applyAlignment="1" applyProtection="1">
      <alignment horizontal="center" vertical="center"/>
      <protection locked="0"/>
    </xf>
    <xf numFmtId="0" fontId="5" fillId="2" borderId="9" xfId="2" applyFont="1" applyFill="1" applyBorder="1" applyAlignment="1" applyProtection="1">
      <alignment horizontal="center" vertical="center"/>
      <protection locked="0"/>
    </xf>
    <xf numFmtId="0" fontId="6" fillId="2" borderId="10" xfId="2" applyFont="1" applyFill="1" applyBorder="1" applyAlignment="1" applyProtection="1">
      <alignment horizontal="center" vertical="center"/>
      <protection locked="0"/>
    </xf>
    <xf numFmtId="0" fontId="6" fillId="2" borderId="11" xfId="2" applyFont="1" applyFill="1" applyBorder="1" applyAlignment="1" applyProtection="1">
      <alignment horizontal="center" vertical="center"/>
      <protection locked="0"/>
    </xf>
    <xf numFmtId="0" fontId="6" fillId="2" borderId="12" xfId="2" applyFont="1" applyFill="1" applyBorder="1" applyAlignment="1" applyProtection="1">
      <alignment horizontal="center" vertical="center"/>
      <protection locked="0"/>
    </xf>
    <xf numFmtId="0" fontId="7" fillId="3" borderId="19" xfId="2" applyFont="1" applyFill="1" applyBorder="1" applyAlignment="1" applyProtection="1">
      <alignment horizontal="center" vertical="center"/>
      <protection locked="0"/>
    </xf>
    <xf numFmtId="0" fontId="7" fillId="3" borderId="4" xfId="2" applyFont="1" applyFill="1" applyBorder="1" applyAlignment="1" applyProtection="1">
      <alignment horizontal="center" vertical="center"/>
      <protection locked="0"/>
    </xf>
    <xf numFmtId="0" fontId="7" fillId="3" borderId="4" xfId="2" applyFont="1" applyFill="1" applyBorder="1" applyAlignment="1" applyProtection="1">
      <alignment horizontal="center" vertical="center" wrapText="1"/>
      <protection locked="0"/>
    </xf>
    <xf numFmtId="0" fontId="7" fillId="3" borderId="25" xfId="2" applyFont="1" applyFill="1" applyBorder="1" applyAlignment="1" applyProtection="1">
      <alignment horizontal="center" vertical="center" wrapText="1"/>
      <protection locked="0"/>
    </xf>
    <xf numFmtId="0" fontId="7" fillId="3" borderId="26" xfId="2" applyFont="1" applyFill="1" applyBorder="1" applyAlignment="1" applyProtection="1">
      <alignment horizontal="center" vertical="center" wrapText="1"/>
      <protection locked="0"/>
    </xf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4" fillId="2" borderId="7" xfId="2" applyFont="1" applyFill="1" applyBorder="1" applyAlignment="1">
      <alignment horizontal="center" vertical="center" wrapText="1"/>
    </xf>
    <xf numFmtId="0" fontId="4" fillId="2" borderId="8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7" xfId="2" applyFont="1" applyFill="1" applyBorder="1" applyAlignment="1">
      <alignment horizontal="center" vertical="center"/>
    </xf>
    <xf numFmtId="0" fontId="3" fillId="2" borderId="8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 vertical="center" wrapText="1"/>
    </xf>
    <xf numFmtId="0" fontId="3" fillId="2" borderId="5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 wrapText="1"/>
    </xf>
    <xf numFmtId="0" fontId="3" fillId="2" borderId="7" xfId="2" applyFont="1" applyFill="1" applyBorder="1" applyAlignment="1">
      <alignment horizontal="center" vertical="center" wrapText="1"/>
    </xf>
    <xf numFmtId="0" fontId="3" fillId="2" borderId="8" xfId="2" applyFont="1" applyFill="1" applyBorder="1" applyAlignment="1">
      <alignment horizontal="center" vertical="center" wrapText="1"/>
    </xf>
    <xf numFmtId="0" fontId="7" fillId="3" borderId="14" xfId="2" applyFont="1" applyFill="1" applyBorder="1" applyAlignment="1" applyProtection="1">
      <alignment horizontal="center" vertical="center" wrapText="1"/>
      <protection locked="0"/>
    </xf>
  </cellXfs>
  <cellStyles count="4">
    <cellStyle name="Normal" xfId="0" builtinId="0"/>
    <cellStyle name="Normal 2" xfId="2" xr:uid="{31B52E9F-3949-4315-A68A-1FE1D7906B57}"/>
    <cellStyle name="Normal 2 2" xfId="3" xr:uid="{47EE0A29-C4EB-4F46-A7AF-AA9360E1DF44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C61A-F2D5-4B28-9FB5-A446A20CB68C}">
  <dimension ref="B1:AD37"/>
  <sheetViews>
    <sheetView workbookViewId="0">
      <selection activeCell="D9" sqref="D9:D10"/>
    </sheetView>
  </sheetViews>
  <sheetFormatPr baseColWidth="10" defaultRowHeight="15" x14ac:dyDescent="0.25"/>
  <cols>
    <col min="5" max="5" width="17.140625" customWidth="1"/>
    <col min="7" max="7" width="12.42578125" customWidth="1"/>
    <col min="8" max="8" width="12.42578125" bestFit="1" customWidth="1"/>
    <col min="9" max="9" width="11.42578125" bestFit="1" customWidth="1"/>
    <col min="11" max="11" width="13.42578125" bestFit="1" customWidth="1"/>
    <col min="16" max="16" width="14.42578125" customWidth="1"/>
    <col min="18" max="18" width="12.140625" customWidth="1"/>
    <col min="19" max="19" width="11.42578125" bestFit="1" customWidth="1"/>
    <col min="22" max="22" width="13.42578125" bestFit="1" customWidth="1"/>
  </cols>
  <sheetData>
    <row r="1" spans="2:30" ht="15.75" thickBot="1" x14ac:dyDescent="0.3">
      <c r="C1" s="119" t="s">
        <v>104</v>
      </c>
      <c r="D1" s="119">
        <v>9084</v>
      </c>
      <c r="E1" s="120">
        <v>2204.6226000000001</v>
      </c>
    </row>
    <row r="2" spans="2:30" ht="15.75" thickBot="1" x14ac:dyDescent="0.3"/>
    <row r="3" spans="2:30" ht="19.5" thickBot="1" x14ac:dyDescent="0.35">
      <c r="B3" s="159" t="s">
        <v>105</v>
      </c>
      <c r="C3" s="160"/>
      <c r="D3" s="160"/>
      <c r="E3" s="160"/>
      <c r="F3" s="160"/>
      <c r="G3" s="160"/>
      <c r="H3" s="160"/>
      <c r="I3" s="160"/>
      <c r="J3" s="160"/>
      <c r="K3" s="161"/>
      <c r="M3" s="159" t="s">
        <v>106</v>
      </c>
      <c r="N3" s="160"/>
      <c r="O3" s="160"/>
      <c r="P3" s="160"/>
      <c r="Q3" s="160"/>
      <c r="R3" s="160"/>
      <c r="S3" s="160"/>
      <c r="T3" s="160"/>
      <c r="U3" s="160"/>
      <c r="V3" s="161"/>
    </row>
    <row r="4" spans="2:30" ht="15.75" thickBot="1" x14ac:dyDescent="0.3">
      <c r="B4" s="121" t="s">
        <v>107</v>
      </c>
      <c r="C4" s="122" t="s">
        <v>108</v>
      </c>
      <c r="D4" s="123" t="s">
        <v>109</v>
      </c>
      <c r="E4" s="123" t="s">
        <v>110</v>
      </c>
      <c r="F4" s="124" t="s">
        <v>111</v>
      </c>
      <c r="G4" s="124" t="s">
        <v>112</v>
      </c>
      <c r="H4" s="124" t="s">
        <v>113</v>
      </c>
      <c r="I4" s="125" t="s">
        <v>114</v>
      </c>
      <c r="J4" s="126" t="s">
        <v>115</v>
      </c>
      <c r="K4" s="127" t="s">
        <v>116</v>
      </c>
      <c r="M4" s="121" t="s">
        <v>107</v>
      </c>
      <c r="N4" s="122" t="s">
        <v>108</v>
      </c>
      <c r="O4" s="123" t="s">
        <v>109</v>
      </c>
      <c r="P4" s="123" t="s">
        <v>110</v>
      </c>
      <c r="Q4" s="124" t="s">
        <v>111</v>
      </c>
      <c r="R4" s="124" t="s">
        <v>112</v>
      </c>
      <c r="S4" s="124" t="s">
        <v>113</v>
      </c>
      <c r="T4" s="125" t="s">
        <v>114</v>
      </c>
      <c r="U4" s="126" t="s">
        <v>115</v>
      </c>
      <c r="V4" s="128" t="s">
        <v>116</v>
      </c>
    </row>
    <row r="5" spans="2:30" x14ac:dyDescent="0.25">
      <c r="B5" s="129" t="s">
        <v>117</v>
      </c>
      <c r="C5" s="130">
        <f ca="1">IFERROR(INDIRECT("'"&amp;B5&amp;"'!G36"),0)</f>
        <v>0</v>
      </c>
      <c r="D5" s="131">
        <f ca="1">IFERROR(INDIRECT("'"&amp;B5&amp;"'!V36"),0)</f>
        <v>0</v>
      </c>
      <c r="E5" s="131">
        <f ca="1">IFERROR(INDIRECT("'"&amp;B5&amp;"'!W36"),0)</f>
        <v>0</v>
      </c>
      <c r="F5" s="131">
        <f ca="1">IFERROR(INDIRECT("'"&amp;B5&amp;"'!X40"),0)</f>
        <v>0</v>
      </c>
      <c r="G5" s="131">
        <f ca="1">IFERROR(INDIRECT("'"&amp;B5&amp;"'!I41"),0)</f>
        <v>50534.960000000006</v>
      </c>
      <c r="H5" s="132">
        <f ca="1">IFERROR(INDIRECT("'"&amp;B5&amp;"'!L41"),0)</f>
        <v>52618</v>
      </c>
      <c r="I5" s="133" t="str">
        <f ca="1">IFERROR(INDIRECT("'"&amp;B5&amp;"'!N36"),0)</f>
        <v/>
      </c>
      <c r="J5" s="134">
        <f ca="1">+C5/24</f>
        <v>0</v>
      </c>
      <c r="K5" s="135">
        <f ca="1">IFERROR(INDIRECT("'"&amp;B5&amp;"'!B36"),0)</f>
        <v>0</v>
      </c>
      <c r="M5" s="129" t="s">
        <v>117</v>
      </c>
      <c r="N5" s="130">
        <f ca="1">IFERROR(INDIRECT("'"&amp;M5&amp;"'!E82"),0)</f>
        <v>3093.7900000000009</v>
      </c>
      <c r="O5" s="131">
        <f ca="1">IFERROR(INDIRECT("'"&amp;M5&amp;"'!U82"),0)</f>
        <v>1845.38</v>
      </c>
      <c r="P5" s="131">
        <f ca="1">IFERROR(INDIRECT("'"&amp;M5&amp;"'!V82"),0)</f>
        <v>80.8</v>
      </c>
      <c r="Q5" s="131">
        <f ca="1">IFERROR(INDIRECT("'"&amp;M5&amp;"'!W86"),0)</f>
        <v>0</v>
      </c>
      <c r="R5" s="131">
        <f ca="1">IFERROR(INDIRECT("'"&amp;M5&amp;"'!I87"),0)</f>
        <v>0</v>
      </c>
      <c r="S5" s="131">
        <f ca="1">IFERROR(INDIRECT("'"&amp;M5&amp;"'!L87"),0)</f>
        <v>20649</v>
      </c>
      <c r="T5" s="133">
        <f ca="1">IFERROR(INDIRECT("'"&amp;M5&amp;"'!K82"),0)</f>
        <v>11804.063938365551</v>
      </c>
      <c r="U5" s="134">
        <f ca="1">+N5/24</f>
        <v>128.90791666666669</v>
      </c>
      <c r="V5" s="130">
        <f ca="1">IFERROR(INDIRECT("'"&amp;M5&amp;"'!B82"),0)</f>
        <v>3794040</v>
      </c>
      <c r="Y5">
        <f ca="1">IFERROR(INDIRECT("'"&amp;B5&amp;"'!P36"),0)</f>
        <v>0</v>
      </c>
      <c r="Z5">
        <f ca="1">IFERROR(INDIRECT("'"&amp;B5&amp;"'!Q36"),0)</f>
        <v>0</v>
      </c>
      <c r="AA5">
        <f ca="1">IFERROR(INDIRECT("'"&amp;B5&amp;"'!R36"),0)</f>
        <v>0</v>
      </c>
      <c r="AB5">
        <f ca="1">IFERROR(INDIRECT("'"&amp;B5&amp;"'!S36"),0)</f>
        <v>0</v>
      </c>
      <c r="AC5">
        <f ca="1">IFERROR(INDIRECT("'"&amp;B5&amp;"'!T36"),0)</f>
        <v>0</v>
      </c>
      <c r="AD5">
        <f ca="1">IFERROR(INDIRECT("'"&amp;B5&amp;"'!U36"),0)</f>
        <v>0</v>
      </c>
    </row>
    <row r="6" spans="2:30" x14ac:dyDescent="0.25">
      <c r="B6" s="136" t="s">
        <v>118</v>
      </c>
      <c r="C6" s="137">
        <f t="shared" ref="C6:C35" ca="1" si="0">IFERROR(INDIRECT("'"&amp;B6&amp;"'!G36"),0)</f>
        <v>413.82000000000005</v>
      </c>
      <c r="D6" s="138">
        <f t="shared" ref="D6:D35" ca="1" si="1">IFERROR(INDIRECT("'"&amp;B6&amp;"'!V36"),0)</f>
        <v>335.06999999999994</v>
      </c>
      <c r="E6" s="138">
        <f t="shared" ref="E6:E35" ca="1" si="2">IFERROR(INDIRECT("'"&amp;B6&amp;"'!W36"),0)</f>
        <v>31.199999999999996</v>
      </c>
      <c r="F6" s="138">
        <f t="shared" ref="F6:F35" ca="1" si="3">IFERROR(INDIRECT("'"&amp;B6&amp;"'!X40"),0)</f>
        <v>16431.402543328346</v>
      </c>
      <c r="G6" s="138">
        <f t="shared" ref="G6:G35" ca="1" si="4">IFERROR(INDIRECT("'"&amp;B6&amp;"'!I41"),0)</f>
        <v>136611.19</v>
      </c>
      <c r="H6" s="139">
        <f t="shared" ref="H6:H35" ca="1" si="5">IFERROR(INDIRECT("'"&amp;B6&amp;"'!L41"),0)</f>
        <v>224068</v>
      </c>
      <c r="I6" s="140">
        <f t="shared" ref="I6:I34" ca="1" si="6">IFERROR(INDIRECT("'"&amp;B6&amp;"'!N36"),0)</f>
        <v>241687.03254323351</v>
      </c>
      <c r="J6" s="141">
        <f t="shared" ref="J6:J34" ca="1" si="7">+C6/24</f>
        <v>17.242500000000003</v>
      </c>
      <c r="K6" s="142">
        <f t="shared" ref="K6:K35" ca="1" si="8">IFERROR(INDIRECT("'"&amp;B6&amp;"'!B36"),0)</f>
        <v>503590</v>
      </c>
      <c r="M6" s="136" t="s">
        <v>118</v>
      </c>
      <c r="N6" s="137">
        <f t="shared" ref="N6:N35" ca="1" si="9">IFERROR(INDIRECT("'"&amp;M6&amp;"'!E82"),0)</f>
        <v>777.11</v>
      </c>
      <c r="O6" s="138">
        <f t="shared" ref="O6:O35" ca="1" si="10">IFERROR(INDIRECT("'"&amp;M6&amp;"'!U82"),0)</f>
        <v>498.43</v>
      </c>
      <c r="P6" s="138">
        <f t="shared" ref="P6:P35" ca="1" si="11">IFERROR(INDIRECT("'"&amp;M6&amp;"'!V82"),0)</f>
        <v>23.4</v>
      </c>
      <c r="Q6" s="138">
        <f t="shared" ref="Q6:Q35" ca="1" si="12">IFERROR(INDIRECT("'"&amp;M6&amp;"'!W86"),0)</f>
        <v>0</v>
      </c>
      <c r="R6" s="138">
        <f t="shared" ref="R6:R35" ca="1" si="13">IFERROR(INDIRECT("'"&amp;M6&amp;"'!I87"),0)</f>
        <v>133422.68</v>
      </c>
      <c r="S6" s="138">
        <f t="shared" ref="S6:S35" ca="1" si="14">IFERROR(INDIRECT("'"&amp;M6&amp;"'!L87"),0)</f>
        <v>20649</v>
      </c>
      <c r="T6" s="140">
        <f t="shared" ref="T6:T35" ca="1" si="15">IFERROR(INDIRECT("'"&amp;M6&amp;"'!K82"),0)</f>
        <v>11079.393526702563</v>
      </c>
      <c r="U6" s="141">
        <f t="shared" ref="U6:U35" ca="1" si="16">+N6/24</f>
        <v>32.379583333333336</v>
      </c>
      <c r="V6" s="137">
        <f t="shared" ref="V6:V35" ca="1" si="17">IFERROR(INDIRECT("'"&amp;M6&amp;"'!B82"),0)</f>
        <v>968600</v>
      </c>
      <c r="Y6">
        <f t="shared" ref="Y6:Y35" ca="1" si="18">IFERROR(INDIRECT("'"&amp;B6&amp;"'!P36"),0)</f>
        <v>56.71</v>
      </c>
      <c r="Z6">
        <f t="shared" ref="Z6:Z35" ca="1" si="19">IFERROR(INDIRECT("'"&amp;B6&amp;"'!Q36"),0)</f>
        <v>56.93</v>
      </c>
      <c r="AA6">
        <f t="shared" ref="AA6:AA35" ca="1" si="20">IFERROR(INDIRECT("'"&amp;B6&amp;"'!R36"),0)</f>
        <v>60.12</v>
      </c>
      <c r="AB6">
        <f t="shared" ref="AB6:AB35" ca="1" si="21">IFERROR(INDIRECT("'"&amp;B6&amp;"'!S36"),0)</f>
        <v>58.18</v>
      </c>
      <c r="AC6">
        <f t="shared" ref="AC6:AC35" ca="1" si="22">IFERROR(INDIRECT("'"&amp;B6&amp;"'!T36"),0)</f>
        <v>54.489999999999995</v>
      </c>
      <c r="AD6">
        <f t="shared" ref="AD6:AD35" ca="1" si="23">IFERROR(INDIRECT("'"&amp;B6&amp;"'!U36"),0)</f>
        <v>48.64</v>
      </c>
    </row>
    <row r="7" spans="2:30" x14ac:dyDescent="0.25">
      <c r="B7" s="136" t="s">
        <v>119</v>
      </c>
      <c r="C7" s="137">
        <f t="shared" ca="1" si="0"/>
        <v>3015.3</v>
      </c>
      <c r="D7" s="138">
        <f t="shared" ca="1" si="1"/>
        <v>1702.3899999999999</v>
      </c>
      <c r="E7" s="138">
        <f t="shared" ca="1" si="2"/>
        <v>16.2</v>
      </c>
      <c r="F7" s="138">
        <f t="shared" ca="1" si="3"/>
        <v>0</v>
      </c>
      <c r="G7" s="138">
        <f t="shared" ca="1" si="4"/>
        <v>0</v>
      </c>
      <c r="H7" s="139">
        <f t="shared" ca="1" si="5"/>
        <v>397037</v>
      </c>
      <c r="I7" s="140">
        <f t="shared" ca="1" si="6"/>
        <v>10414.225537622386</v>
      </c>
      <c r="J7" s="141">
        <f t="shared" ca="1" si="7"/>
        <v>125.6375</v>
      </c>
      <c r="K7" s="142">
        <f t="shared" ca="1" si="8"/>
        <v>3413240</v>
      </c>
      <c r="M7" s="136" t="s">
        <v>119</v>
      </c>
      <c r="N7" s="137">
        <f t="shared" ca="1" si="9"/>
        <v>0</v>
      </c>
      <c r="O7" s="138">
        <f t="shared" ca="1" si="10"/>
        <v>0</v>
      </c>
      <c r="P7" s="138">
        <f t="shared" ca="1" si="11"/>
        <v>0</v>
      </c>
      <c r="Q7" s="138">
        <f t="shared" ca="1" si="12"/>
        <v>0</v>
      </c>
      <c r="R7" s="138">
        <f t="shared" ca="1" si="13"/>
        <v>138945.82</v>
      </c>
      <c r="S7" s="138">
        <f t="shared" ca="1" si="14"/>
        <v>3925</v>
      </c>
      <c r="T7" s="140" t="str">
        <f t="shared" ca="1" si="15"/>
        <v/>
      </c>
      <c r="U7" s="141">
        <f t="shared" ca="1" si="16"/>
        <v>0</v>
      </c>
      <c r="V7" s="137">
        <f t="shared" ca="1" si="17"/>
        <v>0</v>
      </c>
      <c r="Y7">
        <f t="shared" ca="1" si="18"/>
        <v>241.52999999999997</v>
      </c>
      <c r="Z7">
        <f t="shared" ca="1" si="19"/>
        <v>283.47000000000003</v>
      </c>
      <c r="AA7">
        <f t="shared" ca="1" si="20"/>
        <v>328.38999999999993</v>
      </c>
      <c r="AB7">
        <f t="shared" ca="1" si="21"/>
        <v>307.46999999999997</v>
      </c>
      <c r="AC7">
        <f t="shared" ca="1" si="22"/>
        <v>390.70999999999987</v>
      </c>
      <c r="AD7">
        <f t="shared" ca="1" si="23"/>
        <v>150.82</v>
      </c>
    </row>
    <row r="8" spans="2:30" x14ac:dyDescent="0.25">
      <c r="B8" s="136" t="s">
        <v>120</v>
      </c>
      <c r="C8" s="137">
        <f t="shared" ca="1" si="0"/>
        <v>3040.2399999999989</v>
      </c>
      <c r="D8" s="138">
        <f t="shared" ca="1" si="1"/>
        <v>1631.41</v>
      </c>
      <c r="E8" s="138">
        <f t="shared" ca="1" si="2"/>
        <v>11.5</v>
      </c>
      <c r="F8" s="138">
        <f t="shared" ca="1" si="3"/>
        <v>0</v>
      </c>
      <c r="G8" s="138">
        <f t="shared" ca="1" si="4"/>
        <v>0</v>
      </c>
      <c r="H8" s="139">
        <f t="shared" ca="1" si="5"/>
        <v>404209</v>
      </c>
      <c r="I8" s="140">
        <f t="shared" ca="1" si="6"/>
        <v>9844.1555697542371</v>
      </c>
      <c r="J8" s="141">
        <f t="shared" ca="1" si="7"/>
        <v>126.67666666666662</v>
      </c>
      <c r="K8" s="142">
        <f t="shared" ca="1" si="8"/>
        <v>3436900</v>
      </c>
      <c r="M8" s="136" t="s">
        <v>120</v>
      </c>
      <c r="N8" s="137">
        <f t="shared" ca="1" si="9"/>
        <v>0</v>
      </c>
      <c r="O8" s="138">
        <f t="shared" ca="1" si="10"/>
        <v>0</v>
      </c>
      <c r="P8" s="138">
        <f t="shared" ca="1" si="11"/>
        <v>0</v>
      </c>
      <c r="Q8" s="138">
        <f t="shared" ca="1" si="12"/>
        <v>0</v>
      </c>
      <c r="R8" s="138">
        <f t="shared" ca="1" si="13"/>
        <v>120403.01</v>
      </c>
      <c r="S8" s="138">
        <f t="shared" ca="1" si="14"/>
        <v>3925</v>
      </c>
      <c r="T8" s="140" t="str">
        <f t="shared" ca="1" si="15"/>
        <v/>
      </c>
      <c r="U8" s="141">
        <f t="shared" ca="1" si="16"/>
        <v>0</v>
      </c>
      <c r="V8" s="137">
        <f t="shared" ca="1" si="17"/>
        <v>0</v>
      </c>
      <c r="Y8">
        <f t="shared" ca="1" si="18"/>
        <v>206.79000000000005</v>
      </c>
      <c r="Z8">
        <f t="shared" ca="1" si="19"/>
        <v>271.53000000000003</v>
      </c>
      <c r="AA8">
        <f t="shared" ca="1" si="20"/>
        <v>318.47999999999996</v>
      </c>
      <c r="AB8">
        <f t="shared" ca="1" si="21"/>
        <v>302.26</v>
      </c>
      <c r="AC8">
        <f t="shared" ca="1" si="22"/>
        <v>316.73000000000008</v>
      </c>
      <c r="AD8">
        <f t="shared" ca="1" si="23"/>
        <v>215.62000000000003</v>
      </c>
    </row>
    <row r="9" spans="2:30" x14ac:dyDescent="0.25">
      <c r="B9" s="136" t="s">
        <v>121</v>
      </c>
      <c r="C9" s="137">
        <f t="shared" ca="1" si="0"/>
        <v>3160.3199999999997</v>
      </c>
      <c r="D9" s="138">
        <f t="shared" ca="1" si="1"/>
        <v>1676.7099999999996</v>
      </c>
      <c r="E9" s="138">
        <f t="shared" ca="1" si="2"/>
        <v>14.600000000000138</v>
      </c>
      <c r="F9" s="138">
        <f t="shared" ca="1" si="3"/>
        <v>0</v>
      </c>
      <c r="G9" s="138">
        <f t="shared" ca="1" si="4"/>
        <v>0</v>
      </c>
      <c r="H9" s="139">
        <f t="shared" ca="1" si="5"/>
        <v>405101</v>
      </c>
      <c r="I9" s="140">
        <f t="shared" ca="1" si="6"/>
        <v>9739.0501507537138</v>
      </c>
      <c r="J9" s="141">
        <f t="shared" ca="1" si="7"/>
        <v>131.67999999999998</v>
      </c>
      <c r="K9" s="142">
        <f t="shared" ca="1" si="8"/>
        <v>4139040</v>
      </c>
      <c r="M9" s="136" t="s">
        <v>121</v>
      </c>
      <c r="N9" s="137">
        <f t="shared" ca="1" si="9"/>
        <v>0</v>
      </c>
      <c r="O9" s="138">
        <f t="shared" ca="1" si="10"/>
        <v>0</v>
      </c>
      <c r="P9" s="138">
        <f t="shared" ca="1" si="11"/>
        <v>0</v>
      </c>
      <c r="Q9" s="138">
        <f t="shared" ca="1" si="12"/>
        <v>0</v>
      </c>
      <c r="R9" s="138">
        <f t="shared" ca="1" si="13"/>
        <v>119182.39</v>
      </c>
      <c r="S9" s="138">
        <f t="shared" ca="1" si="14"/>
        <v>3945</v>
      </c>
      <c r="T9" s="140" t="str">
        <f t="shared" ca="1" si="15"/>
        <v/>
      </c>
      <c r="U9" s="141">
        <f t="shared" ca="1" si="16"/>
        <v>0</v>
      </c>
      <c r="V9" s="137">
        <f t="shared" ca="1" si="17"/>
        <v>0</v>
      </c>
      <c r="Y9">
        <f t="shared" ca="1" si="18"/>
        <v>188.75</v>
      </c>
      <c r="Z9">
        <f t="shared" ca="1" si="19"/>
        <v>250.14</v>
      </c>
      <c r="AA9">
        <f t="shared" ca="1" si="20"/>
        <v>346.14999999999992</v>
      </c>
      <c r="AB9">
        <f t="shared" ca="1" si="21"/>
        <v>346.13999999999993</v>
      </c>
      <c r="AC9">
        <f t="shared" ca="1" si="22"/>
        <v>346.14999999999986</v>
      </c>
      <c r="AD9">
        <f t="shared" ca="1" si="23"/>
        <v>199.38</v>
      </c>
    </row>
    <row r="10" spans="2:30" x14ac:dyDescent="0.25">
      <c r="B10" s="136" t="s">
        <v>122</v>
      </c>
      <c r="C10" s="137">
        <f t="shared" ca="1" si="0"/>
        <v>3161.1800000000003</v>
      </c>
      <c r="D10" s="138">
        <f t="shared" ca="1" si="1"/>
        <v>1666.8500000000006</v>
      </c>
      <c r="E10" s="138">
        <f t="shared" ca="1" si="2"/>
        <v>0</v>
      </c>
      <c r="F10" s="138">
        <f t="shared" ca="1" si="3"/>
        <v>0</v>
      </c>
      <c r="G10" s="138">
        <f t="shared" ca="1" si="4"/>
        <v>0</v>
      </c>
      <c r="H10" s="139">
        <f t="shared" ca="1" si="5"/>
        <v>405919</v>
      </c>
      <c r="I10" s="140">
        <f t="shared" ca="1" si="6"/>
        <v>9694.8442898977701</v>
      </c>
      <c r="J10" s="141">
        <f t="shared" ca="1" si="7"/>
        <v>131.71583333333334</v>
      </c>
      <c r="K10" s="142">
        <f t="shared" ca="1" si="8"/>
        <v>177210</v>
      </c>
      <c r="M10" s="136" t="s">
        <v>122</v>
      </c>
      <c r="N10" s="137">
        <f t="shared" ca="1" si="9"/>
        <v>0</v>
      </c>
      <c r="O10" s="138">
        <f t="shared" ca="1" si="10"/>
        <v>0</v>
      </c>
      <c r="P10" s="138">
        <f t="shared" ca="1" si="11"/>
        <v>0</v>
      </c>
      <c r="Q10" s="138">
        <f t="shared" ca="1" si="12"/>
        <v>0</v>
      </c>
      <c r="R10" s="138">
        <f t="shared" ca="1" si="13"/>
        <v>114603.78</v>
      </c>
      <c r="S10" s="138">
        <f t="shared" ca="1" si="14"/>
        <v>4110</v>
      </c>
      <c r="T10" s="140" t="str">
        <f t="shared" ca="1" si="15"/>
        <v/>
      </c>
      <c r="U10" s="141">
        <f t="shared" ca="1" si="16"/>
        <v>0</v>
      </c>
      <c r="V10" s="137">
        <f t="shared" ca="1" si="17"/>
        <v>0</v>
      </c>
      <c r="Y10">
        <f t="shared" ca="1" si="18"/>
        <v>190.71999999999997</v>
      </c>
      <c r="Z10">
        <f t="shared" ca="1" si="19"/>
        <v>245.71000000000006</v>
      </c>
      <c r="AA10">
        <f t="shared" ca="1" si="20"/>
        <v>341.65999999999997</v>
      </c>
      <c r="AB10">
        <f t="shared" ca="1" si="21"/>
        <v>341.72000000000008</v>
      </c>
      <c r="AC10">
        <f t="shared" ca="1" si="22"/>
        <v>341.74000000000007</v>
      </c>
      <c r="AD10">
        <f t="shared" ca="1" si="23"/>
        <v>205.3</v>
      </c>
    </row>
    <row r="11" spans="2:30" x14ac:dyDescent="0.25">
      <c r="B11" s="136" t="s">
        <v>123</v>
      </c>
      <c r="C11" s="137">
        <f t="shared" ca="1" si="0"/>
        <v>3217.33</v>
      </c>
      <c r="D11" s="138">
        <f t="shared" ca="1" si="1"/>
        <v>1722.94</v>
      </c>
      <c r="E11" s="138">
        <f t="shared" ca="1" si="2"/>
        <v>3.7</v>
      </c>
      <c r="F11" s="138">
        <f t="shared" ca="1" si="3"/>
        <v>0</v>
      </c>
      <c r="G11" s="138">
        <f t="shared" ca="1" si="4"/>
        <v>0</v>
      </c>
      <c r="H11" s="139">
        <f t="shared" ca="1" si="5"/>
        <v>402413</v>
      </c>
      <c r="I11" s="140">
        <f t="shared" ca="1" si="6"/>
        <v>9882.8564297224839</v>
      </c>
      <c r="J11" s="141">
        <f t="shared" ca="1" si="7"/>
        <v>134.05541666666667</v>
      </c>
      <c r="K11" s="142">
        <f t="shared" ca="1" si="8"/>
        <v>3616310</v>
      </c>
      <c r="M11" s="136" t="s">
        <v>123</v>
      </c>
      <c r="N11" s="137">
        <f t="shared" ca="1" si="9"/>
        <v>0</v>
      </c>
      <c r="O11" s="138">
        <f t="shared" ca="1" si="10"/>
        <v>0</v>
      </c>
      <c r="P11" s="138">
        <f t="shared" ca="1" si="11"/>
        <v>0</v>
      </c>
      <c r="Q11" s="138">
        <f t="shared" ca="1" si="12"/>
        <v>0</v>
      </c>
      <c r="R11" s="138">
        <f t="shared" ca="1" si="13"/>
        <v>134300.81000000003</v>
      </c>
      <c r="S11" s="138">
        <f t="shared" ca="1" si="14"/>
        <v>5113</v>
      </c>
      <c r="T11" s="140" t="str">
        <f t="shared" ca="1" si="15"/>
        <v/>
      </c>
      <c r="U11" s="141">
        <f t="shared" ca="1" si="16"/>
        <v>0</v>
      </c>
      <c r="V11" s="137">
        <f t="shared" ca="1" si="17"/>
        <v>0</v>
      </c>
      <c r="Y11">
        <f t="shared" ca="1" si="18"/>
        <v>196.62999999999997</v>
      </c>
      <c r="Z11">
        <f t="shared" ca="1" si="19"/>
        <v>260.27000000000004</v>
      </c>
      <c r="AA11">
        <f t="shared" ca="1" si="20"/>
        <v>356.29</v>
      </c>
      <c r="AB11">
        <f t="shared" ca="1" si="21"/>
        <v>359.03000000000003</v>
      </c>
      <c r="AC11">
        <f t="shared" ca="1" si="22"/>
        <v>364.54</v>
      </c>
      <c r="AD11">
        <f t="shared" ca="1" si="23"/>
        <v>186.18</v>
      </c>
    </row>
    <row r="12" spans="2:30" x14ac:dyDescent="0.25">
      <c r="B12" s="136" t="s">
        <v>124</v>
      </c>
      <c r="C12" s="137">
        <f t="shared" ca="1" si="0"/>
        <v>3205.19</v>
      </c>
      <c r="D12" s="138">
        <f t="shared" ca="1" si="1"/>
        <v>1702.3700000000001</v>
      </c>
      <c r="E12" s="138">
        <f t="shared" ca="1" si="2"/>
        <v>7.2999999999999989</v>
      </c>
      <c r="F12" s="138">
        <f t="shared" ca="1" si="3"/>
        <v>0</v>
      </c>
      <c r="G12" s="138">
        <f t="shared" ca="1" si="4"/>
        <v>0</v>
      </c>
      <c r="H12" s="139">
        <f t="shared" ca="1" si="5"/>
        <v>393313</v>
      </c>
      <c r="I12" s="140">
        <f t="shared" ca="1" si="6"/>
        <v>9738.715451640528</v>
      </c>
      <c r="J12" s="141">
        <f t="shared" ca="1" si="7"/>
        <v>133.54958333333335</v>
      </c>
      <c r="K12" s="142">
        <f t="shared" ca="1" si="8"/>
        <v>3667310</v>
      </c>
      <c r="M12" s="136" t="s">
        <v>124</v>
      </c>
      <c r="N12" s="137">
        <f t="shared" ca="1" si="9"/>
        <v>587.69000000000005</v>
      </c>
      <c r="O12" s="138">
        <f t="shared" ca="1" si="10"/>
        <v>727.38</v>
      </c>
      <c r="P12" s="138">
        <f t="shared" ca="1" si="11"/>
        <v>21.1</v>
      </c>
      <c r="Q12" s="138">
        <f t="shared" ca="1" si="12"/>
        <v>4747.75</v>
      </c>
      <c r="R12" s="138">
        <f t="shared" ca="1" si="13"/>
        <v>197273.76999999996</v>
      </c>
      <c r="S12" s="138">
        <f t="shared" ca="1" si="14"/>
        <v>19297</v>
      </c>
      <c r="T12" s="140">
        <f t="shared" ca="1" si="15"/>
        <v>33383.519397288183</v>
      </c>
      <c r="U12" s="141">
        <f t="shared" ca="1" si="16"/>
        <v>24.487083333333334</v>
      </c>
      <c r="V12" s="137">
        <f t="shared" ca="1" si="17"/>
        <v>815010</v>
      </c>
      <c r="Y12">
        <f t="shared" ca="1" si="18"/>
        <v>204.10999999999999</v>
      </c>
      <c r="Z12">
        <f t="shared" ca="1" si="19"/>
        <v>292.44</v>
      </c>
      <c r="AA12">
        <f t="shared" ca="1" si="20"/>
        <v>331.62000000000006</v>
      </c>
      <c r="AB12">
        <f t="shared" ca="1" si="21"/>
        <v>347.26</v>
      </c>
      <c r="AC12">
        <f t="shared" ca="1" si="22"/>
        <v>352.15000000000003</v>
      </c>
      <c r="AD12">
        <f t="shared" ca="1" si="23"/>
        <v>174.79</v>
      </c>
    </row>
    <row r="13" spans="2:30" x14ac:dyDescent="0.25">
      <c r="B13" s="136" t="s">
        <v>125</v>
      </c>
      <c r="C13" s="137">
        <f t="shared" ca="1" si="0"/>
        <v>3173.79</v>
      </c>
      <c r="D13" s="138">
        <f t="shared" ca="1" si="1"/>
        <v>1717.23</v>
      </c>
      <c r="E13" s="138">
        <f t="shared" ca="1" si="2"/>
        <v>0</v>
      </c>
      <c r="F13" s="138">
        <f t="shared" ca="1" si="3"/>
        <v>0</v>
      </c>
      <c r="G13" s="138">
        <f t="shared" ca="1" si="4"/>
        <v>0</v>
      </c>
      <c r="H13" s="139">
        <f t="shared" ca="1" si="5"/>
        <v>409875</v>
      </c>
      <c r="I13" s="140">
        <f t="shared" ca="1" si="6"/>
        <v>9937.6018476630106</v>
      </c>
      <c r="J13" s="141">
        <f t="shared" ca="1" si="7"/>
        <v>132.24125000000001</v>
      </c>
      <c r="K13" s="142">
        <f t="shared" ca="1" si="8"/>
        <v>3575340</v>
      </c>
      <c r="M13" s="136" t="s">
        <v>125</v>
      </c>
      <c r="N13" s="137">
        <f t="shared" ca="1" si="9"/>
        <v>2567.8000000000002</v>
      </c>
      <c r="O13" s="138">
        <f t="shared" ca="1" si="10"/>
        <v>1586.0100000000002</v>
      </c>
      <c r="P13" s="138">
        <f t="shared" ca="1" si="11"/>
        <v>13.600000000000003</v>
      </c>
      <c r="Q13" s="138">
        <f t="shared" ca="1" si="12"/>
        <v>0</v>
      </c>
      <c r="R13" s="138">
        <f t="shared" ca="1" si="13"/>
        <v>20587.34</v>
      </c>
      <c r="S13" s="138">
        <f t="shared" ca="1" si="14"/>
        <v>19297</v>
      </c>
      <c r="T13" s="140">
        <f t="shared" ca="1" si="15"/>
        <v>12410.58942446288</v>
      </c>
      <c r="U13" s="141">
        <f t="shared" ca="1" si="16"/>
        <v>106.99166666666667</v>
      </c>
      <c r="V13" s="137">
        <f t="shared" ca="1" si="17"/>
        <v>3071280</v>
      </c>
      <c r="Y13">
        <f t="shared" ca="1" si="18"/>
        <v>192.52000000000004</v>
      </c>
      <c r="Z13">
        <f t="shared" ca="1" si="19"/>
        <v>314.08999999999997</v>
      </c>
      <c r="AA13">
        <f t="shared" ca="1" si="20"/>
        <v>325.31999999999994</v>
      </c>
      <c r="AB13">
        <f t="shared" ca="1" si="21"/>
        <v>345.92999999999989</v>
      </c>
      <c r="AC13">
        <f t="shared" ca="1" si="22"/>
        <v>345.83</v>
      </c>
      <c r="AD13">
        <f t="shared" ca="1" si="23"/>
        <v>193.53999999999996</v>
      </c>
    </row>
    <row r="14" spans="2:30" x14ac:dyDescent="0.25">
      <c r="B14" s="136" t="s">
        <v>126</v>
      </c>
      <c r="C14" s="137">
        <f t="shared" ca="1" si="0"/>
        <v>3096.8900000000008</v>
      </c>
      <c r="D14" s="138">
        <f t="shared" ca="1" si="1"/>
        <v>1679.3600000000001</v>
      </c>
      <c r="E14" s="138">
        <f t="shared" ca="1" si="2"/>
        <v>0</v>
      </c>
      <c r="F14" s="138">
        <f t="shared" ca="1" si="3"/>
        <v>0</v>
      </c>
      <c r="G14" s="138">
        <f t="shared" ca="1" si="4"/>
        <v>0</v>
      </c>
      <c r="H14" s="139">
        <f t="shared" ca="1" si="5"/>
        <v>385100</v>
      </c>
      <c r="I14" s="140">
        <f t="shared" ca="1" si="6"/>
        <v>9947.8946223340517</v>
      </c>
      <c r="J14" s="141">
        <f t="shared" ca="1" si="7"/>
        <v>129.03708333333336</v>
      </c>
      <c r="K14" s="142">
        <f t="shared" ca="1" si="8"/>
        <v>3486290</v>
      </c>
      <c r="M14" s="136" t="s">
        <v>126</v>
      </c>
      <c r="N14" s="137">
        <f t="shared" ca="1" si="9"/>
        <v>0</v>
      </c>
      <c r="O14" s="138">
        <f t="shared" ca="1" si="10"/>
        <v>0</v>
      </c>
      <c r="P14" s="138">
        <f t="shared" ca="1" si="11"/>
        <v>0</v>
      </c>
      <c r="Q14" s="138">
        <f t="shared" ca="1" si="12"/>
        <v>0</v>
      </c>
      <c r="R14" s="138">
        <f t="shared" ca="1" si="13"/>
        <v>185973.31</v>
      </c>
      <c r="S14" s="138">
        <f t="shared" ca="1" si="14"/>
        <v>19297</v>
      </c>
      <c r="T14" s="140" t="str">
        <f t="shared" ca="1" si="15"/>
        <v/>
      </c>
      <c r="U14" s="141">
        <f t="shared" ca="1" si="16"/>
        <v>0</v>
      </c>
      <c r="V14" s="137">
        <f t="shared" ca="1" si="17"/>
        <v>0</v>
      </c>
      <c r="Y14">
        <f t="shared" ca="1" si="18"/>
        <v>207.01000000000002</v>
      </c>
      <c r="Z14">
        <f t="shared" ca="1" si="19"/>
        <v>308.11</v>
      </c>
      <c r="AA14">
        <f t="shared" ca="1" si="20"/>
        <v>320.02999999999997</v>
      </c>
      <c r="AB14">
        <f t="shared" ca="1" si="21"/>
        <v>332.19</v>
      </c>
      <c r="AC14">
        <f t="shared" ca="1" si="22"/>
        <v>332.86000000000007</v>
      </c>
      <c r="AD14">
        <f t="shared" ca="1" si="23"/>
        <v>179.16</v>
      </c>
    </row>
    <row r="15" spans="2:30" x14ac:dyDescent="0.25">
      <c r="B15" s="136" t="s">
        <v>127</v>
      </c>
      <c r="C15" s="137">
        <f t="shared" ca="1" si="0"/>
        <v>3793.1600000000003</v>
      </c>
      <c r="D15" s="138">
        <f t="shared" ca="1" si="1"/>
        <v>2022.42</v>
      </c>
      <c r="E15" s="138">
        <f t="shared" ca="1" si="2"/>
        <v>0</v>
      </c>
      <c r="F15" s="138">
        <f t="shared" ca="1" si="3"/>
        <v>0</v>
      </c>
      <c r="G15" s="138">
        <f t="shared" ca="1" si="4"/>
        <v>0</v>
      </c>
      <c r="H15" s="139">
        <f t="shared" ca="1" si="5"/>
        <v>383538</v>
      </c>
      <c r="I15" s="140">
        <f t="shared" ca="1" si="6"/>
        <v>9659.0341651805447</v>
      </c>
      <c r="J15" s="141">
        <f t="shared" ca="1" si="7"/>
        <v>158.04833333333335</v>
      </c>
      <c r="K15" s="142">
        <f t="shared" ca="1" si="8"/>
        <v>4232420</v>
      </c>
      <c r="M15" s="136" t="s">
        <v>127</v>
      </c>
      <c r="N15" s="137">
        <f t="shared" ca="1" si="9"/>
        <v>0</v>
      </c>
      <c r="O15" s="138">
        <f t="shared" ca="1" si="10"/>
        <v>0</v>
      </c>
      <c r="P15" s="138">
        <f t="shared" ca="1" si="11"/>
        <v>0</v>
      </c>
      <c r="Q15" s="138">
        <f t="shared" ca="1" si="12"/>
        <v>0</v>
      </c>
      <c r="R15" s="138">
        <f t="shared" ca="1" si="13"/>
        <v>120961.92</v>
      </c>
      <c r="S15" s="138">
        <f t="shared" ca="1" si="14"/>
        <v>7287</v>
      </c>
      <c r="T15" s="140" t="str">
        <f t="shared" ca="1" si="15"/>
        <v/>
      </c>
      <c r="U15" s="141">
        <f t="shared" ca="1" si="16"/>
        <v>0</v>
      </c>
      <c r="V15" s="137">
        <f t="shared" ca="1" si="17"/>
        <v>0</v>
      </c>
      <c r="Y15">
        <f t="shared" ca="1" si="18"/>
        <v>194.69</v>
      </c>
      <c r="Z15">
        <f t="shared" ca="1" si="19"/>
        <v>411.92000000000007</v>
      </c>
      <c r="AA15">
        <f t="shared" ca="1" si="20"/>
        <v>423.96000000000015</v>
      </c>
      <c r="AB15">
        <f t="shared" ca="1" si="21"/>
        <v>408.82000000000016</v>
      </c>
      <c r="AC15">
        <f t="shared" ca="1" si="22"/>
        <v>470.38000000000005</v>
      </c>
      <c r="AD15">
        <f t="shared" ca="1" si="23"/>
        <v>112.64999999999999</v>
      </c>
    </row>
    <row r="16" spans="2:30" x14ac:dyDescent="0.25">
      <c r="B16" s="136" t="s">
        <v>128</v>
      </c>
      <c r="C16" s="137">
        <f t="shared" ca="1" si="0"/>
        <v>3718.9899999999993</v>
      </c>
      <c r="D16" s="138">
        <f t="shared" ca="1" si="1"/>
        <v>2000.6800000000003</v>
      </c>
      <c r="E16" s="138">
        <f t="shared" ca="1" si="2"/>
        <v>0</v>
      </c>
      <c r="F16" s="138">
        <f t="shared" ca="1" si="3"/>
        <v>0</v>
      </c>
      <c r="G16" s="138">
        <f t="shared" ca="1" si="4"/>
        <v>0</v>
      </c>
      <c r="H16" s="139">
        <f t="shared" ca="1" si="5"/>
        <v>468581</v>
      </c>
      <c r="I16" s="140">
        <f t="shared" ca="1" si="6"/>
        <v>9753.4712521886704</v>
      </c>
      <c r="J16" s="141">
        <f t="shared" ca="1" si="7"/>
        <v>154.95791666666665</v>
      </c>
      <c r="K16" s="142">
        <f t="shared" ca="1" si="8"/>
        <v>4146990</v>
      </c>
      <c r="M16" s="136" t="s">
        <v>128</v>
      </c>
      <c r="N16" s="137">
        <f t="shared" ca="1" si="9"/>
        <v>0</v>
      </c>
      <c r="O16" s="138">
        <f t="shared" ca="1" si="10"/>
        <v>0</v>
      </c>
      <c r="P16" s="138">
        <f t="shared" ca="1" si="11"/>
        <v>0</v>
      </c>
      <c r="Q16" s="138">
        <f t="shared" ca="1" si="12"/>
        <v>0</v>
      </c>
      <c r="R16" s="138">
        <f t="shared" ca="1" si="13"/>
        <v>112070.15999999999</v>
      </c>
      <c r="S16" s="138">
        <f t="shared" ca="1" si="14"/>
        <v>7287</v>
      </c>
      <c r="T16" s="140" t="str">
        <f t="shared" ca="1" si="15"/>
        <v/>
      </c>
      <c r="U16" s="141">
        <f t="shared" ca="1" si="16"/>
        <v>0</v>
      </c>
      <c r="V16" s="137">
        <f t="shared" ca="1" si="17"/>
        <v>0</v>
      </c>
      <c r="Y16">
        <f t="shared" ca="1" si="18"/>
        <v>207.09999999999997</v>
      </c>
      <c r="Z16">
        <f t="shared" ca="1" si="19"/>
        <v>347.84</v>
      </c>
      <c r="AA16">
        <f t="shared" ca="1" si="20"/>
        <v>423.11999999999995</v>
      </c>
      <c r="AB16">
        <f t="shared" ca="1" si="21"/>
        <v>447.71999999999997</v>
      </c>
      <c r="AC16">
        <f t="shared" ca="1" si="22"/>
        <v>485.70000000000005</v>
      </c>
      <c r="AD16">
        <f t="shared" ca="1" si="23"/>
        <v>89.2</v>
      </c>
    </row>
    <row r="17" spans="2:30" x14ac:dyDescent="0.25">
      <c r="B17" s="136" t="s">
        <v>129</v>
      </c>
      <c r="C17" s="137">
        <f t="shared" ca="1" si="0"/>
        <v>3808.8699999999994</v>
      </c>
      <c r="D17" s="138">
        <f t="shared" ca="1" si="1"/>
        <v>2016.1599999999996</v>
      </c>
      <c r="E17" s="138">
        <f t="shared" ca="1" si="2"/>
        <v>0</v>
      </c>
      <c r="F17" s="138">
        <f t="shared" ca="1" si="3"/>
        <v>0</v>
      </c>
      <c r="G17" s="138">
        <f t="shared" ca="1" si="4"/>
        <v>0</v>
      </c>
      <c r="H17" s="139">
        <f t="shared" ca="1" si="5"/>
        <v>436718</v>
      </c>
      <c r="I17" s="140">
        <f t="shared" ca="1" si="6"/>
        <v>9588.7676030476123</v>
      </c>
      <c r="J17" s="141">
        <f t="shared" ca="1" si="7"/>
        <v>158.70291666666665</v>
      </c>
      <c r="K17" s="142">
        <f t="shared" ca="1" si="8"/>
        <v>4243080</v>
      </c>
      <c r="M17" s="136" t="s">
        <v>129</v>
      </c>
      <c r="N17" s="137">
        <f t="shared" ca="1" si="9"/>
        <v>0</v>
      </c>
      <c r="O17" s="138">
        <f t="shared" ca="1" si="10"/>
        <v>0</v>
      </c>
      <c r="P17" s="138">
        <f t="shared" ca="1" si="11"/>
        <v>0</v>
      </c>
      <c r="Q17" s="138">
        <f t="shared" ca="1" si="12"/>
        <v>0</v>
      </c>
      <c r="R17" s="138">
        <f t="shared" ca="1" si="13"/>
        <v>119004.38999999998</v>
      </c>
      <c r="S17" s="138">
        <f t="shared" ca="1" si="14"/>
        <v>6659</v>
      </c>
      <c r="T17" s="140" t="str">
        <f t="shared" ca="1" si="15"/>
        <v/>
      </c>
      <c r="U17" s="141">
        <f t="shared" ca="1" si="16"/>
        <v>0</v>
      </c>
      <c r="V17" s="137">
        <f t="shared" ca="1" si="17"/>
        <v>0</v>
      </c>
      <c r="Y17">
        <f t="shared" ca="1" si="18"/>
        <v>224.74999999999997</v>
      </c>
      <c r="Z17">
        <f t="shared" ca="1" si="19"/>
        <v>315.86000000000007</v>
      </c>
      <c r="AA17">
        <f t="shared" ca="1" si="20"/>
        <v>435.89000000000004</v>
      </c>
      <c r="AB17">
        <f t="shared" ca="1" si="21"/>
        <v>466.06</v>
      </c>
      <c r="AC17">
        <f t="shared" ca="1" si="22"/>
        <v>475.16000000000008</v>
      </c>
      <c r="AD17">
        <f t="shared" ca="1" si="23"/>
        <v>98.44</v>
      </c>
    </row>
    <row r="18" spans="2:30" x14ac:dyDescent="0.25">
      <c r="B18" s="136" t="s">
        <v>130</v>
      </c>
      <c r="C18" s="137">
        <f t="shared" ca="1" si="0"/>
        <v>3792.67</v>
      </c>
      <c r="D18" s="138">
        <f t="shared" ca="1" si="1"/>
        <v>2035.18</v>
      </c>
      <c r="E18" s="138">
        <f t="shared" ca="1" si="2"/>
        <v>0</v>
      </c>
      <c r="F18" s="138">
        <f t="shared" ca="1" si="3"/>
        <v>0</v>
      </c>
      <c r="G18" s="138">
        <f t="shared" ca="1" si="4"/>
        <v>0</v>
      </c>
      <c r="H18" s="139">
        <f t="shared" ca="1" si="5"/>
        <v>425902</v>
      </c>
      <c r="I18" s="140">
        <f t="shared" ca="1" si="6"/>
        <v>9720.5589552237125</v>
      </c>
      <c r="J18" s="141">
        <f t="shared" ca="1" si="7"/>
        <v>158.02791666666667</v>
      </c>
      <c r="K18" s="142">
        <f t="shared" ca="1" si="8"/>
        <v>4228560</v>
      </c>
      <c r="M18" s="136" t="s">
        <v>130</v>
      </c>
      <c r="N18" s="137">
        <f t="shared" ca="1" si="9"/>
        <v>0</v>
      </c>
      <c r="O18" s="138">
        <f t="shared" ca="1" si="10"/>
        <v>0</v>
      </c>
      <c r="P18" s="138">
        <f t="shared" ca="1" si="11"/>
        <v>0</v>
      </c>
      <c r="Q18" s="138">
        <f t="shared" ca="1" si="12"/>
        <v>0</v>
      </c>
      <c r="R18" s="138">
        <f t="shared" ca="1" si="13"/>
        <v>135455.99</v>
      </c>
      <c r="S18" s="138">
        <f t="shared" ca="1" si="14"/>
        <v>7349</v>
      </c>
      <c r="T18" s="140" t="str">
        <f t="shared" ca="1" si="15"/>
        <v/>
      </c>
      <c r="U18" s="141">
        <f t="shared" ca="1" si="16"/>
        <v>0</v>
      </c>
      <c r="V18" s="137">
        <f t="shared" ca="1" si="17"/>
        <v>0</v>
      </c>
      <c r="Y18">
        <f t="shared" ca="1" si="18"/>
        <v>229.64000000000001</v>
      </c>
      <c r="Z18">
        <f t="shared" ca="1" si="19"/>
        <v>305.06000000000006</v>
      </c>
      <c r="AA18">
        <f t="shared" ca="1" si="20"/>
        <v>425.0200000000001</v>
      </c>
      <c r="AB18">
        <f t="shared" ca="1" si="21"/>
        <v>401.88</v>
      </c>
      <c r="AC18">
        <f t="shared" ca="1" si="22"/>
        <v>436.79000000000008</v>
      </c>
      <c r="AD18">
        <f t="shared" ca="1" si="23"/>
        <v>236.79</v>
      </c>
    </row>
    <row r="19" spans="2:30" x14ac:dyDescent="0.25">
      <c r="B19" s="136" t="s">
        <v>131</v>
      </c>
      <c r="C19" s="137">
        <f t="shared" ca="1" si="0"/>
        <v>2694.6699999999996</v>
      </c>
      <c r="D19" s="138">
        <f t="shared" ca="1" si="1"/>
        <v>1507.53</v>
      </c>
      <c r="E19" s="138">
        <f t="shared" ca="1" si="2"/>
        <v>0</v>
      </c>
      <c r="F19" s="138">
        <f t="shared" ca="1" si="3"/>
        <v>0</v>
      </c>
      <c r="G19" s="138">
        <f t="shared" ca="1" si="4"/>
        <v>35128.020000000004</v>
      </c>
      <c r="H19" s="139">
        <f t="shared" ca="1" si="5"/>
        <v>354252</v>
      </c>
      <c r="I19" s="140">
        <f t="shared" ca="1" si="6"/>
        <v>13575.815477025624</v>
      </c>
      <c r="J19" s="141">
        <f t="shared" ca="1" si="7"/>
        <v>112.27791666666666</v>
      </c>
      <c r="K19" s="142">
        <f t="shared" ca="1" si="8"/>
        <v>3192380</v>
      </c>
      <c r="M19" s="136" t="s">
        <v>131</v>
      </c>
      <c r="N19" s="137">
        <f t="shared" ca="1" si="9"/>
        <v>0</v>
      </c>
      <c r="O19" s="138">
        <f t="shared" ca="1" si="10"/>
        <v>0</v>
      </c>
      <c r="P19" s="138">
        <f t="shared" ca="1" si="11"/>
        <v>0</v>
      </c>
      <c r="Q19" s="138">
        <f t="shared" ca="1" si="12"/>
        <v>0</v>
      </c>
      <c r="R19" s="138">
        <f t="shared" ca="1" si="13"/>
        <v>149851.99000000002</v>
      </c>
      <c r="S19" s="138">
        <f t="shared" ca="1" si="14"/>
        <v>8293</v>
      </c>
      <c r="T19" s="140" t="str">
        <f t="shared" ca="1" si="15"/>
        <v/>
      </c>
      <c r="U19" s="141">
        <f t="shared" ca="1" si="16"/>
        <v>0</v>
      </c>
      <c r="V19" s="137">
        <f t="shared" ca="1" si="17"/>
        <v>0</v>
      </c>
      <c r="Y19">
        <f t="shared" ca="1" si="18"/>
        <v>162.62</v>
      </c>
      <c r="Z19">
        <f t="shared" ca="1" si="19"/>
        <v>218.82</v>
      </c>
      <c r="AA19">
        <f t="shared" ca="1" si="20"/>
        <v>314.62</v>
      </c>
      <c r="AB19">
        <f t="shared" ca="1" si="21"/>
        <v>295.36999999999995</v>
      </c>
      <c r="AC19">
        <f t="shared" ca="1" si="22"/>
        <v>333.63</v>
      </c>
      <c r="AD19">
        <f t="shared" ca="1" si="23"/>
        <v>182.46999999999997</v>
      </c>
    </row>
    <row r="20" spans="2:30" x14ac:dyDescent="0.25">
      <c r="B20" s="136" t="s">
        <v>132</v>
      </c>
      <c r="C20" s="137">
        <f t="shared" ca="1" si="0"/>
        <v>1094.3699999999999</v>
      </c>
      <c r="D20" s="138">
        <f t="shared" ca="1" si="1"/>
        <v>719.59</v>
      </c>
      <c r="E20" s="138">
        <f t="shared" ca="1" si="2"/>
        <v>0</v>
      </c>
      <c r="F20" s="138">
        <f t="shared" ca="1" si="3"/>
        <v>3430.48</v>
      </c>
      <c r="G20" s="138">
        <f t="shared" ca="1" si="4"/>
        <v>101782.24999999999</v>
      </c>
      <c r="H20" s="139">
        <f t="shared" ca="1" si="5"/>
        <v>271600.59999996424</v>
      </c>
      <c r="I20" s="140">
        <f t="shared" ca="1" si="6"/>
        <v>13569.061142226274</v>
      </c>
      <c r="J20" s="141">
        <f t="shared" ca="1" si="7"/>
        <v>45.598749999999995</v>
      </c>
      <c r="K20" s="142">
        <f t="shared" ca="1" si="8"/>
        <v>1290200</v>
      </c>
      <c r="M20" s="136" t="s">
        <v>132</v>
      </c>
      <c r="N20" s="137">
        <f t="shared" ca="1" si="9"/>
        <v>0</v>
      </c>
      <c r="O20" s="138">
        <f t="shared" ca="1" si="10"/>
        <v>0</v>
      </c>
      <c r="P20" s="138">
        <f t="shared" ca="1" si="11"/>
        <v>0</v>
      </c>
      <c r="Q20" s="138">
        <f t="shared" ca="1" si="12"/>
        <v>0</v>
      </c>
      <c r="R20" s="138">
        <f t="shared" ca="1" si="13"/>
        <v>123917.27999999996</v>
      </c>
      <c r="S20" s="138">
        <f t="shared" ca="1" si="14"/>
        <v>6848</v>
      </c>
      <c r="T20" s="140" t="str">
        <f t="shared" ca="1" si="15"/>
        <v/>
      </c>
      <c r="U20" s="141">
        <f t="shared" ca="1" si="16"/>
        <v>0</v>
      </c>
      <c r="V20" s="137">
        <f t="shared" ca="1" si="17"/>
        <v>0</v>
      </c>
      <c r="Y20">
        <f t="shared" ca="1" si="18"/>
        <v>89.070000000000007</v>
      </c>
      <c r="Z20">
        <f t="shared" ca="1" si="19"/>
        <v>114.82</v>
      </c>
      <c r="AA20">
        <f t="shared" ca="1" si="20"/>
        <v>148.92000000000002</v>
      </c>
      <c r="AB20">
        <f t="shared" ca="1" si="21"/>
        <v>151.10999999999999</v>
      </c>
      <c r="AC20">
        <f t="shared" ca="1" si="22"/>
        <v>158.28</v>
      </c>
      <c r="AD20">
        <f t="shared" ca="1" si="23"/>
        <v>57.39</v>
      </c>
    </row>
    <row r="21" spans="2:30" x14ac:dyDescent="0.25">
      <c r="B21" s="136" t="s">
        <v>133</v>
      </c>
      <c r="C21" s="137">
        <f t="shared" ca="1" si="0"/>
        <v>3783.3499999999995</v>
      </c>
      <c r="D21" s="138">
        <f t="shared" ca="1" si="1"/>
        <v>2017.8400000000004</v>
      </c>
      <c r="E21" s="138">
        <f t="shared" ca="1" si="2"/>
        <v>0</v>
      </c>
      <c r="F21" s="138">
        <f t="shared" ca="1" si="3"/>
        <v>0</v>
      </c>
      <c r="G21" s="138">
        <f t="shared" ca="1" si="4"/>
        <v>0</v>
      </c>
      <c r="H21" s="139">
        <f t="shared" ca="1" si="5"/>
        <v>427414.40000003576</v>
      </c>
      <c r="I21" s="140">
        <f t="shared" ca="1" si="6"/>
        <v>9662.229319362219</v>
      </c>
      <c r="J21" s="141">
        <f t="shared" ca="1" si="7"/>
        <v>157.63958333333332</v>
      </c>
      <c r="K21" s="142">
        <f t="shared" ca="1" si="8"/>
        <v>4215620</v>
      </c>
      <c r="M21" s="136" t="s">
        <v>133</v>
      </c>
      <c r="N21" s="137">
        <f t="shared" ca="1" si="9"/>
        <v>0</v>
      </c>
      <c r="O21" s="138">
        <f t="shared" ca="1" si="10"/>
        <v>0</v>
      </c>
      <c r="P21" s="138">
        <f t="shared" ca="1" si="11"/>
        <v>0</v>
      </c>
      <c r="Q21" s="138">
        <f t="shared" ca="1" si="12"/>
        <v>0</v>
      </c>
      <c r="R21" s="138">
        <f t="shared" ca="1" si="13"/>
        <v>118868.68</v>
      </c>
      <c r="S21" s="138">
        <f t="shared" ca="1" si="14"/>
        <v>6094</v>
      </c>
      <c r="T21" s="140" t="str">
        <f t="shared" ca="1" si="15"/>
        <v/>
      </c>
      <c r="U21" s="141">
        <f t="shared" ca="1" si="16"/>
        <v>0</v>
      </c>
      <c r="V21" s="137">
        <f t="shared" ca="1" si="17"/>
        <v>0</v>
      </c>
      <c r="Y21">
        <f t="shared" ca="1" si="18"/>
        <v>193.72000000000006</v>
      </c>
      <c r="Z21">
        <f t="shared" ca="1" si="19"/>
        <v>265.73999999999995</v>
      </c>
      <c r="AA21">
        <f t="shared" ca="1" si="20"/>
        <v>459.31999999999994</v>
      </c>
      <c r="AB21">
        <f t="shared" ca="1" si="21"/>
        <v>486.91</v>
      </c>
      <c r="AC21">
        <f t="shared" ca="1" si="22"/>
        <v>486.84000000000009</v>
      </c>
      <c r="AD21">
        <f t="shared" ca="1" si="23"/>
        <v>125.31000000000002</v>
      </c>
    </row>
    <row r="22" spans="2:30" x14ac:dyDescent="0.25">
      <c r="B22" s="136" t="s">
        <v>134</v>
      </c>
      <c r="C22" s="137">
        <f t="shared" ca="1" si="0"/>
        <v>2093.46</v>
      </c>
      <c r="D22" s="138">
        <f t="shared" ca="1" si="1"/>
        <v>1254.44</v>
      </c>
      <c r="E22" s="138">
        <f t="shared" ca="1" si="2"/>
        <v>0</v>
      </c>
      <c r="F22" s="138">
        <f t="shared" ca="1" si="3"/>
        <v>0</v>
      </c>
      <c r="G22" s="138">
        <f t="shared" ca="1" si="4"/>
        <v>40904.410000000003</v>
      </c>
      <c r="H22" s="139">
        <f t="shared" ca="1" si="5"/>
        <v>318854</v>
      </c>
      <c r="I22" s="140">
        <f t="shared" ca="1" si="6"/>
        <v>11006.827191898035</v>
      </c>
      <c r="J22" s="141">
        <f t="shared" ca="1" si="7"/>
        <v>87.227500000000006</v>
      </c>
      <c r="K22" s="142">
        <f t="shared" ca="1" si="8"/>
        <v>2541130</v>
      </c>
      <c r="M22" s="136" t="s">
        <v>134</v>
      </c>
      <c r="N22" s="137">
        <f t="shared" ca="1" si="9"/>
        <v>0</v>
      </c>
      <c r="O22" s="138">
        <f t="shared" ca="1" si="10"/>
        <v>0</v>
      </c>
      <c r="P22" s="138">
        <f t="shared" ca="1" si="11"/>
        <v>0</v>
      </c>
      <c r="Q22" s="138">
        <f t="shared" ca="1" si="12"/>
        <v>0</v>
      </c>
      <c r="R22" s="138">
        <f t="shared" ca="1" si="13"/>
        <v>119609.32999999999</v>
      </c>
      <c r="S22" s="138">
        <f t="shared" ca="1" si="14"/>
        <v>6228</v>
      </c>
      <c r="T22" s="140" t="str">
        <f t="shared" ca="1" si="15"/>
        <v/>
      </c>
      <c r="U22" s="141">
        <f t="shared" ca="1" si="16"/>
        <v>0</v>
      </c>
      <c r="V22" s="137">
        <f t="shared" ca="1" si="17"/>
        <v>0</v>
      </c>
      <c r="Y22">
        <f t="shared" ca="1" si="18"/>
        <v>145.04999999999998</v>
      </c>
      <c r="Z22">
        <f t="shared" ca="1" si="19"/>
        <v>132.33000000000001</v>
      </c>
      <c r="AA22">
        <f t="shared" ca="1" si="20"/>
        <v>281.82000000000005</v>
      </c>
      <c r="AB22">
        <f t="shared" ca="1" si="21"/>
        <v>300.66000000000003</v>
      </c>
      <c r="AC22">
        <f t="shared" ca="1" si="22"/>
        <v>294.91999999999996</v>
      </c>
      <c r="AD22">
        <f t="shared" ca="1" si="23"/>
        <v>99.660000000000011</v>
      </c>
    </row>
    <row r="23" spans="2:30" x14ac:dyDescent="0.25">
      <c r="B23" s="136" t="s">
        <v>135</v>
      </c>
      <c r="C23" s="137">
        <f t="shared" ca="1" si="0"/>
        <v>0</v>
      </c>
      <c r="D23" s="138">
        <f t="shared" ca="1" si="1"/>
        <v>0</v>
      </c>
      <c r="E23" s="138">
        <f t="shared" ca="1" si="2"/>
        <v>0</v>
      </c>
      <c r="F23" s="138">
        <f t="shared" ca="1" si="3"/>
        <v>0</v>
      </c>
      <c r="G23" s="138">
        <f t="shared" ca="1" si="4"/>
        <v>85723.12</v>
      </c>
      <c r="H23" s="139">
        <f t="shared" ca="1" si="5"/>
        <v>83169</v>
      </c>
      <c r="I23" s="140" t="str">
        <f t="shared" ca="1" si="6"/>
        <v/>
      </c>
      <c r="J23" s="141">
        <f t="shared" ca="1" si="7"/>
        <v>0</v>
      </c>
      <c r="K23" s="142">
        <f t="shared" ca="1" si="8"/>
        <v>0</v>
      </c>
      <c r="M23" s="136" t="s">
        <v>135</v>
      </c>
      <c r="N23" s="137">
        <f t="shared" ca="1" si="9"/>
        <v>0</v>
      </c>
      <c r="O23" s="138">
        <f t="shared" ca="1" si="10"/>
        <v>0</v>
      </c>
      <c r="P23" s="138">
        <f t="shared" ca="1" si="11"/>
        <v>0</v>
      </c>
      <c r="Q23" s="138">
        <f t="shared" ca="1" si="12"/>
        <v>0</v>
      </c>
      <c r="R23" s="138">
        <f t="shared" ca="1" si="13"/>
        <v>120115.29000000001</v>
      </c>
      <c r="S23" s="138">
        <f t="shared" ca="1" si="14"/>
        <v>5897</v>
      </c>
      <c r="T23" s="140" t="str">
        <f t="shared" ca="1" si="15"/>
        <v/>
      </c>
      <c r="U23" s="141">
        <f t="shared" ca="1" si="16"/>
        <v>0</v>
      </c>
      <c r="V23" s="137">
        <f t="shared" ca="1" si="17"/>
        <v>0</v>
      </c>
      <c r="Y23">
        <f t="shared" ca="1" si="18"/>
        <v>0</v>
      </c>
      <c r="Z23">
        <f t="shared" ca="1" si="19"/>
        <v>0</v>
      </c>
      <c r="AA23">
        <f t="shared" ca="1" si="20"/>
        <v>0</v>
      </c>
      <c r="AB23">
        <f t="shared" ca="1" si="21"/>
        <v>0</v>
      </c>
      <c r="AC23">
        <f t="shared" ca="1" si="22"/>
        <v>0</v>
      </c>
      <c r="AD23">
        <f t="shared" ca="1" si="23"/>
        <v>0</v>
      </c>
    </row>
    <row r="24" spans="2:30" x14ac:dyDescent="0.25">
      <c r="B24" s="136" t="s">
        <v>136</v>
      </c>
      <c r="C24" s="137">
        <f t="shared" ca="1" si="0"/>
        <v>0</v>
      </c>
      <c r="D24" s="138">
        <f t="shared" ca="1" si="1"/>
        <v>0</v>
      </c>
      <c r="E24" s="138">
        <f t="shared" ca="1" si="2"/>
        <v>0</v>
      </c>
      <c r="F24" s="138">
        <f t="shared" ca="1" si="3"/>
        <v>0</v>
      </c>
      <c r="G24" s="138">
        <f t="shared" ca="1" si="4"/>
        <v>68244.56</v>
      </c>
      <c r="H24" s="139">
        <f t="shared" ca="1" si="5"/>
        <v>68440</v>
      </c>
      <c r="I24" s="140" t="str">
        <f t="shared" ca="1" si="6"/>
        <v/>
      </c>
      <c r="J24" s="141">
        <f t="shared" ca="1" si="7"/>
        <v>0</v>
      </c>
      <c r="K24" s="142">
        <f t="shared" ca="1" si="8"/>
        <v>0</v>
      </c>
      <c r="M24" s="136" t="s">
        <v>136</v>
      </c>
      <c r="N24" s="137">
        <f t="shared" ca="1" si="9"/>
        <v>0</v>
      </c>
      <c r="O24" s="138">
        <f t="shared" ca="1" si="10"/>
        <v>0</v>
      </c>
      <c r="P24" s="138">
        <f t="shared" ca="1" si="11"/>
        <v>0</v>
      </c>
      <c r="Q24" s="138">
        <f t="shared" ca="1" si="12"/>
        <v>0</v>
      </c>
      <c r="R24" s="138">
        <f t="shared" ca="1" si="13"/>
        <v>119642.93000000002</v>
      </c>
      <c r="S24" s="138">
        <f t="shared" ca="1" si="14"/>
        <v>5897</v>
      </c>
      <c r="T24" s="140" t="str">
        <f t="shared" ca="1" si="15"/>
        <v/>
      </c>
      <c r="U24" s="141">
        <f t="shared" ca="1" si="16"/>
        <v>0</v>
      </c>
      <c r="V24" s="137">
        <f t="shared" ca="1" si="17"/>
        <v>0</v>
      </c>
      <c r="Y24">
        <f t="shared" ca="1" si="18"/>
        <v>0</v>
      </c>
      <c r="Z24">
        <f t="shared" ca="1" si="19"/>
        <v>0</v>
      </c>
      <c r="AA24">
        <f t="shared" ca="1" si="20"/>
        <v>0</v>
      </c>
      <c r="AB24">
        <f t="shared" ca="1" si="21"/>
        <v>0</v>
      </c>
      <c r="AC24">
        <f t="shared" ca="1" si="22"/>
        <v>0</v>
      </c>
      <c r="AD24">
        <f t="shared" ca="1" si="23"/>
        <v>0</v>
      </c>
    </row>
    <row r="25" spans="2:30" x14ac:dyDescent="0.25">
      <c r="B25" s="136" t="s">
        <v>137</v>
      </c>
      <c r="C25" s="137">
        <f t="shared" ca="1" si="0"/>
        <v>0</v>
      </c>
      <c r="D25" s="138">
        <f t="shared" ca="1" si="1"/>
        <v>0</v>
      </c>
      <c r="E25" s="138">
        <f t="shared" ca="1" si="2"/>
        <v>0</v>
      </c>
      <c r="F25" s="138">
        <f t="shared" ca="1" si="3"/>
        <v>0</v>
      </c>
      <c r="G25" s="138">
        <f t="shared" ca="1" si="4"/>
        <v>68244.56</v>
      </c>
      <c r="H25" s="139">
        <f t="shared" ca="1" si="5"/>
        <v>43668</v>
      </c>
      <c r="I25" s="140" t="str">
        <f t="shared" ca="1" si="6"/>
        <v/>
      </c>
      <c r="J25" s="141">
        <f t="shared" ca="1" si="7"/>
        <v>0</v>
      </c>
      <c r="K25" s="142">
        <f t="shared" ca="1" si="8"/>
        <v>0</v>
      </c>
      <c r="M25" s="136" t="s">
        <v>137</v>
      </c>
      <c r="N25" s="137">
        <f t="shared" ca="1" si="9"/>
        <v>0</v>
      </c>
      <c r="O25" s="138">
        <f t="shared" ca="1" si="10"/>
        <v>0</v>
      </c>
      <c r="P25" s="138">
        <f t="shared" ca="1" si="11"/>
        <v>0</v>
      </c>
      <c r="Q25" s="138">
        <f t="shared" ca="1" si="12"/>
        <v>0</v>
      </c>
      <c r="R25" s="138">
        <f t="shared" ca="1" si="13"/>
        <v>120632.21044700002</v>
      </c>
      <c r="S25" s="138">
        <f t="shared" ca="1" si="14"/>
        <v>7087</v>
      </c>
      <c r="T25" s="140" t="str">
        <f t="shared" ca="1" si="15"/>
        <v/>
      </c>
      <c r="U25" s="141">
        <f t="shared" ca="1" si="16"/>
        <v>0</v>
      </c>
      <c r="V25" s="137">
        <f t="shared" ca="1" si="17"/>
        <v>0</v>
      </c>
      <c r="Y25">
        <f t="shared" ca="1" si="18"/>
        <v>0</v>
      </c>
      <c r="Z25">
        <f t="shared" ca="1" si="19"/>
        <v>0</v>
      </c>
      <c r="AA25">
        <f t="shared" ca="1" si="20"/>
        <v>0</v>
      </c>
      <c r="AB25">
        <f t="shared" ca="1" si="21"/>
        <v>0</v>
      </c>
      <c r="AC25">
        <f t="shared" ca="1" si="22"/>
        <v>0</v>
      </c>
      <c r="AD25">
        <f t="shared" ca="1" si="23"/>
        <v>0</v>
      </c>
    </row>
    <row r="26" spans="2:30" x14ac:dyDescent="0.25">
      <c r="B26" s="136" t="s">
        <v>138</v>
      </c>
      <c r="C26" s="137">
        <f t="shared" ca="1" si="0"/>
        <v>0</v>
      </c>
      <c r="D26" s="138">
        <f t="shared" ca="1" si="1"/>
        <v>0</v>
      </c>
      <c r="E26" s="138">
        <f t="shared" ca="1" si="2"/>
        <v>0</v>
      </c>
      <c r="F26" s="138">
        <f t="shared" ca="1" si="3"/>
        <v>0</v>
      </c>
      <c r="G26" s="138">
        <f t="shared" ca="1" si="4"/>
        <v>41865.664707000004</v>
      </c>
      <c r="H26" s="139">
        <f t="shared" ca="1" si="5"/>
        <v>40577</v>
      </c>
      <c r="I26" s="140" t="str">
        <f t="shared" ca="1" si="6"/>
        <v/>
      </c>
      <c r="J26" s="141">
        <f t="shared" ca="1" si="7"/>
        <v>0</v>
      </c>
      <c r="K26" s="142">
        <f t="shared" ca="1" si="8"/>
        <v>0</v>
      </c>
      <c r="M26" s="136" t="s">
        <v>138</v>
      </c>
      <c r="N26" s="137">
        <f t="shared" ca="1" si="9"/>
        <v>409.35</v>
      </c>
      <c r="O26" s="138">
        <f t="shared" ca="1" si="10"/>
        <v>533.40999999999985</v>
      </c>
      <c r="P26" s="138">
        <f t="shared" ca="1" si="11"/>
        <v>0</v>
      </c>
      <c r="Q26" s="138">
        <f t="shared" ca="1" si="12"/>
        <v>7433.5099999999984</v>
      </c>
      <c r="R26" s="138">
        <f t="shared" ca="1" si="13"/>
        <v>174026.35</v>
      </c>
      <c r="S26" s="138">
        <f t="shared" ca="1" si="14"/>
        <v>15455</v>
      </c>
      <c r="T26" s="140">
        <f t="shared" ca="1" si="15"/>
        <v>33823.565052075704</v>
      </c>
      <c r="U26" s="141">
        <f t="shared" ca="1" si="16"/>
        <v>17.056250000000002</v>
      </c>
      <c r="V26" s="137">
        <f t="shared" ca="1" si="17"/>
        <v>603610</v>
      </c>
      <c r="Y26">
        <f t="shared" ca="1" si="18"/>
        <v>0</v>
      </c>
      <c r="Z26">
        <f t="shared" ca="1" si="19"/>
        <v>0</v>
      </c>
      <c r="AA26">
        <f t="shared" ca="1" si="20"/>
        <v>0</v>
      </c>
      <c r="AB26">
        <f t="shared" ca="1" si="21"/>
        <v>0</v>
      </c>
      <c r="AC26">
        <f t="shared" ca="1" si="22"/>
        <v>0</v>
      </c>
      <c r="AD26">
        <f t="shared" ca="1" si="23"/>
        <v>0</v>
      </c>
    </row>
    <row r="27" spans="2:30" x14ac:dyDescent="0.25">
      <c r="B27" s="136" t="s">
        <v>139</v>
      </c>
      <c r="C27" s="137">
        <f t="shared" ca="1" si="0"/>
        <v>0</v>
      </c>
      <c r="D27" s="138">
        <f t="shared" ca="1" si="1"/>
        <v>0</v>
      </c>
      <c r="E27" s="138">
        <f t="shared" ca="1" si="2"/>
        <v>0</v>
      </c>
      <c r="F27" s="138">
        <f t="shared" ca="1" si="3"/>
        <v>0</v>
      </c>
      <c r="G27" s="138">
        <f t="shared" ca="1" si="4"/>
        <v>36216.270000000004</v>
      </c>
      <c r="H27" s="139">
        <f t="shared" ca="1" si="5"/>
        <v>24403</v>
      </c>
      <c r="I27" s="140" t="str">
        <f t="shared" ca="1" si="6"/>
        <v/>
      </c>
      <c r="J27" s="141">
        <f t="shared" ca="1" si="7"/>
        <v>0</v>
      </c>
      <c r="K27" s="142">
        <f t="shared" ca="1" si="8"/>
        <v>0</v>
      </c>
      <c r="M27" s="136" t="s">
        <v>139</v>
      </c>
      <c r="N27" s="137">
        <f t="shared" ca="1" si="9"/>
        <v>2038.97</v>
      </c>
      <c r="O27" s="138">
        <f t="shared" ca="1" si="10"/>
        <v>1334.99</v>
      </c>
      <c r="P27" s="138">
        <f t="shared" ca="1" si="11"/>
        <v>0</v>
      </c>
      <c r="Q27" s="138">
        <f t="shared" ca="1" si="12"/>
        <v>0</v>
      </c>
      <c r="R27" s="138">
        <f t="shared" ca="1" si="13"/>
        <v>0</v>
      </c>
      <c r="S27" s="138">
        <f t="shared" ca="1" si="14"/>
        <v>20755</v>
      </c>
      <c r="T27" s="140">
        <f t="shared" ca="1" si="15"/>
        <v>13073.340088174498</v>
      </c>
      <c r="U27" s="141">
        <f t="shared" ca="1" si="16"/>
        <v>84.95708333333333</v>
      </c>
      <c r="V27" s="137">
        <f t="shared" ca="1" si="17"/>
        <v>2568510</v>
      </c>
      <c r="Y27">
        <f t="shared" ca="1" si="18"/>
        <v>0</v>
      </c>
      <c r="Z27">
        <f t="shared" ca="1" si="19"/>
        <v>0</v>
      </c>
      <c r="AA27">
        <f t="shared" ca="1" si="20"/>
        <v>0</v>
      </c>
      <c r="AB27">
        <f t="shared" ca="1" si="21"/>
        <v>0</v>
      </c>
      <c r="AC27">
        <f t="shared" ca="1" si="22"/>
        <v>0</v>
      </c>
      <c r="AD27">
        <f t="shared" ca="1" si="23"/>
        <v>0</v>
      </c>
    </row>
    <row r="28" spans="2:30" x14ac:dyDescent="0.25">
      <c r="B28" s="136" t="s">
        <v>140</v>
      </c>
      <c r="C28" s="137">
        <f t="shared" ca="1" si="0"/>
        <v>0</v>
      </c>
      <c r="D28" s="138">
        <f t="shared" ca="1" si="1"/>
        <v>0</v>
      </c>
      <c r="E28" s="138">
        <f t="shared" ca="1" si="2"/>
        <v>0</v>
      </c>
      <c r="F28" s="138">
        <f t="shared" ca="1" si="3"/>
        <v>0</v>
      </c>
      <c r="G28" s="138">
        <f t="shared" ca="1" si="4"/>
        <v>41404.080000000002</v>
      </c>
      <c r="H28" s="139">
        <f t="shared" ca="1" si="5"/>
        <v>52263.509999990463</v>
      </c>
      <c r="I28" s="140" t="str">
        <f t="shared" ca="1" si="6"/>
        <v/>
      </c>
      <c r="J28" s="141">
        <f t="shared" ca="1" si="7"/>
        <v>0</v>
      </c>
      <c r="K28" s="142">
        <f t="shared" ca="1" si="8"/>
        <v>0</v>
      </c>
      <c r="M28" s="136" t="s">
        <v>140</v>
      </c>
      <c r="N28" s="137">
        <f t="shared" ca="1" si="9"/>
        <v>2911.2299999999996</v>
      </c>
      <c r="O28" s="138">
        <f t="shared" ca="1" si="10"/>
        <v>1676.0800000000002</v>
      </c>
      <c r="P28" s="138">
        <f t="shared" ca="1" si="11"/>
        <v>0</v>
      </c>
      <c r="Q28" s="138">
        <f t="shared" ca="1" si="12"/>
        <v>0</v>
      </c>
      <c r="R28" s="138">
        <f t="shared" ca="1" si="13"/>
        <v>0</v>
      </c>
      <c r="S28" s="138">
        <f t="shared" ca="1" si="14"/>
        <v>22252</v>
      </c>
      <c r="T28" s="140">
        <f t="shared" ca="1" si="15"/>
        <v>11409.488591236577</v>
      </c>
      <c r="U28" s="141">
        <f t="shared" ca="1" si="16"/>
        <v>121.30124999999998</v>
      </c>
      <c r="V28" s="137">
        <f t="shared" ca="1" si="17"/>
        <v>3486260</v>
      </c>
      <c r="Y28">
        <f t="shared" ca="1" si="18"/>
        <v>0</v>
      </c>
      <c r="Z28">
        <f t="shared" ca="1" si="19"/>
        <v>0</v>
      </c>
      <c r="AA28">
        <f t="shared" ca="1" si="20"/>
        <v>0</v>
      </c>
      <c r="AB28">
        <f t="shared" ca="1" si="21"/>
        <v>0</v>
      </c>
      <c r="AC28">
        <f t="shared" ca="1" si="22"/>
        <v>0</v>
      </c>
      <c r="AD28">
        <f t="shared" ca="1" si="23"/>
        <v>0</v>
      </c>
    </row>
    <row r="29" spans="2:30" x14ac:dyDescent="0.25">
      <c r="B29" s="136" t="s">
        <v>141</v>
      </c>
      <c r="C29" s="137">
        <f t="shared" ca="1" si="0"/>
        <v>0</v>
      </c>
      <c r="D29" s="138">
        <f t="shared" ca="1" si="1"/>
        <v>0</v>
      </c>
      <c r="E29" s="138">
        <f t="shared" ca="1" si="2"/>
        <v>0</v>
      </c>
      <c r="F29" s="138">
        <f t="shared" ca="1" si="3"/>
        <v>0</v>
      </c>
      <c r="G29" s="138">
        <f t="shared" ca="1" si="4"/>
        <v>34496.040000000008</v>
      </c>
      <c r="H29" s="139">
        <f t="shared" ca="1" si="5"/>
        <v>33731.490000009537</v>
      </c>
      <c r="I29" s="140" t="str">
        <f t="shared" ca="1" si="6"/>
        <v/>
      </c>
      <c r="J29" s="141">
        <f t="shared" ca="1" si="7"/>
        <v>0</v>
      </c>
      <c r="K29" s="142">
        <f t="shared" ca="1" si="8"/>
        <v>0</v>
      </c>
      <c r="M29" s="136" t="s">
        <v>141</v>
      </c>
      <c r="N29" s="137">
        <f t="shared" ca="1" si="9"/>
        <v>5087.9499999999989</v>
      </c>
      <c r="O29" s="138">
        <f t="shared" ca="1" si="10"/>
        <v>2596.7300000000005</v>
      </c>
      <c r="P29" s="138">
        <f t="shared" ca="1" si="11"/>
        <v>0</v>
      </c>
      <c r="Q29" s="138">
        <f t="shared" ca="1" si="12"/>
        <v>0</v>
      </c>
      <c r="R29" s="138">
        <f t="shared" ca="1" si="13"/>
        <v>0</v>
      </c>
      <c r="S29" s="138">
        <f t="shared" ca="1" si="14"/>
        <v>22252</v>
      </c>
      <c r="T29" s="140">
        <f t="shared" ca="1" si="15"/>
        <v>10140.590956202908</v>
      </c>
      <c r="U29" s="141">
        <f t="shared" ca="1" si="16"/>
        <v>211.99791666666661</v>
      </c>
      <c r="V29" s="137">
        <f t="shared" ca="1" si="17"/>
        <v>5882160</v>
      </c>
      <c r="Y29">
        <f t="shared" ca="1" si="18"/>
        <v>0</v>
      </c>
      <c r="Z29">
        <f t="shared" ca="1" si="19"/>
        <v>0</v>
      </c>
      <c r="AA29">
        <f t="shared" ca="1" si="20"/>
        <v>0</v>
      </c>
      <c r="AB29">
        <f t="shared" ca="1" si="21"/>
        <v>0</v>
      </c>
      <c r="AC29">
        <f t="shared" ca="1" si="22"/>
        <v>0</v>
      </c>
      <c r="AD29">
        <f t="shared" ca="1" si="23"/>
        <v>0</v>
      </c>
    </row>
    <row r="30" spans="2:30" x14ac:dyDescent="0.25">
      <c r="B30" s="136" t="s">
        <v>142</v>
      </c>
      <c r="C30" s="137">
        <f t="shared" ca="1" si="0"/>
        <v>0</v>
      </c>
      <c r="D30" s="138">
        <f t="shared" ca="1" si="1"/>
        <v>0</v>
      </c>
      <c r="E30" s="138">
        <f t="shared" ca="1" si="2"/>
        <v>0</v>
      </c>
      <c r="F30" s="138">
        <f t="shared" ca="1" si="3"/>
        <v>0</v>
      </c>
      <c r="G30" s="138">
        <f t="shared" ca="1" si="4"/>
        <v>33364.229999999996</v>
      </c>
      <c r="H30" s="139">
        <f t="shared" ca="1" si="5"/>
        <v>32598</v>
      </c>
      <c r="I30" s="140" t="str">
        <f t="shared" ca="1" si="6"/>
        <v/>
      </c>
      <c r="J30" s="141">
        <f t="shared" ca="1" si="7"/>
        <v>0</v>
      </c>
      <c r="K30" s="142">
        <f t="shared" ca="1" si="8"/>
        <v>0</v>
      </c>
      <c r="M30" s="136" t="s">
        <v>142</v>
      </c>
      <c r="N30" s="137">
        <f t="shared" ca="1" si="9"/>
        <v>5777.2300000000014</v>
      </c>
      <c r="O30" s="138">
        <f t="shared" ca="1" si="10"/>
        <v>2903.2499999999995</v>
      </c>
      <c r="P30" s="138">
        <f t="shared" ca="1" si="11"/>
        <v>16.3</v>
      </c>
      <c r="Q30" s="138">
        <f t="shared" ca="1" si="12"/>
        <v>0</v>
      </c>
      <c r="R30" s="138">
        <f t="shared" ca="1" si="13"/>
        <v>0</v>
      </c>
      <c r="S30" s="138">
        <f t="shared" ca="1" si="14"/>
        <v>22252</v>
      </c>
      <c r="T30" s="140">
        <f t="shared" ca="1" si="15"/>
        <v>9943.4602977704672</v>
      </c>
      <c r="U30" s="141">
        <f t="shared" ca="1" si="16"/>
        <v>240.71791666666672</v>
      </c>
      <c r="V30" s="137">
        <f t="shared" ca="1" si="17"/>
        <v>6642220</v>
      </c>
      <c r="Y30">
        <f t="shared" ca="1" si="18"/>
        <v>0</v>
      </c>
      <c r="Z30">
        <f t="shared" ca="1" si="19"/>
        <v>0</v>
      </c>
      <c r="AA30">
        <f t="shared" ca="1" si="20"/>
        <v>0</v>
      </c>
      <c r="AB30">
        <f t="shared" ca="1" si="21"/>
        <v>0</v>
      </c>
      <c r="AC30">
        <f t="shared" ca="1" si="22"/>
        <v>0</v>
      </c>
      <c r="AD30">
        <f t="shared" ca="1" si="23"/>
        <v>0</v>
      </c>
    </row>
    <row r="31" spans="2:30" x14ac:dyDescent="0.25">
      <c r="B31" s="136" t="s">
        <v>143</v>
      </c>
      <c r="C31" s="137">
        <f t="shared" ca="1" si="0"/>
        <v>0</v>
      </c>
      <c r="D31" s="138">
        <f t="shared" ca="1" si="1"/>
        <v>0</v>
      </c>
      <c r="E31" s="138">
        <f t="shared" ca="1" si="2"/>
        <v>0</v>
      </c>
      <c r="F31" s="138">
        <f t="shared" ca="1" si="3"/>
        <v>0</v>
      </c>
      <c r="G31" s="138">
        <f t="shared" ca="1" si="4"/>
        <v>32895.29</v>
      </c>
      <c r="H31" s="139">
        <f t="shared" ca="1" si="5"/>
        <v>32623</v>
      </c>
      <c r="I31" s="140" t="str">
        <f t="shared" ca="1" si="6"/>
        <v/>
      </c>
      <c r="J31" s="141">
        <f t="shared" ca="1" si="7"/>
        <v>0</v>
      </c>
      <c r="K31" s="142">
        <f t="shared" ca="1" si="8"/>
        <v>0</v>
      </c>
      <c r="M31" s="136" t="s">
        <v>143</v>
      </c>
      <c r="N31" s="137">
        <f t="shared" ca="1" si="9"/>
        <v>6060.46</v>
      </c>
      <c r="O31" s="138">
        <f t="shared" ca="1" si="10"/>
        <v>3044.11</v>
      </c>
      <c r="P31" s="138">
        <f t="shared" ca="1" si="11"/>
        <v>0</v>
      </c>
      <c r="Q31" s="138">
        <f t="shared" ca="1" si="12"/>
        <v>0</v>
      </c>
      <c r="R31" s="138">
        <f t="shared" ca="1" si="13"/>
        <v>0</v>
      </c>
      <c r="S31" s="138">
        <f t="shared" ca="1" si="14"/>
        <v>35533</v>
      </c>
      <c r="T31" s="140">
        <f t="shared" ca="1" si="15"/>
        <v>9939.7143947721052</v>
      </c>
      <c r="U31" s="141">
        <f t="shared" ca="1" si="16"/>
        <v>252.51916666666668</v>
      </c>
      <c r="V31" s="137">
        <f t="shared" ca="1" si="17"/>
        <v>6950820</v>
      </c>
      <c r="Y31">
        <f t="shared" ca="1" si="18"/>
        <v>0</v>
      </c>
      <c r="Z31">
        <f t="shared" ca="1" si="19"/>
        <v>0</v>
      </c>
      <c r="AA31">
        <f t="shared" ca="1" si="20"/>
        <v>0</v>
      </c>
      <c r="AB31">
        <f t="shared" ca="1" si="21"/>
        <v>0</v>
      </c>
      <c r="AC31">
        <f t="shared" ca="1" si="22"/>
        <v>0</v>
      </c>
      <c r="AD31">
        <f t="shared" ca="1" si="23"/>
        <v>0</v>
      </c>
    </row>
    <row r="32" spans="2:30" x14ac:dyDescent="0.25">
      <c r="B32" s="136" t="s">
        <v>144</v>
      </c>
      <c r="C32" s="137">
        <f t="shared" ca="1" si="0"/>
        <v>0</v>
      </c>
      <c r="D32" s="138">
        <f t="shared" ca="1" si="1"/>
        <v>0</v>
      </c>
      <c r="E32" s="138">
        <f t="shared" ca="1" si="2"/>
        <v>0</v>
      </c>
      <c r="F32" s="138">
        <f t="shared" ca="1" si="3"/>
        <v>0</v>
      </c>
      <c r="G32" s="138">
        <f t="shared" ca="1" si="4"/>
        <v>35822.01</v>
      </c>
      <c r="H32" s="139">
        <f t="shared" ca="1" si="5"/>
        <v>35440</v>
      </c>
      <c r="I32" s="140" t="str">
        <f t="shared" ca="1" si="6"/>
        <v/>
      </c>
      <c r="J32" s="141">
        <f t="shared" ca="1" si="7"/>
        <v>0</v>
      </c>
      <c r="K32" s="142">
        <f t="shared" ca="1" si="8"/>
        <v>0</v>
      </c>
      <c r="M32" s="136" t="s">
        <v>144</v>
      </c>
      <c r="N32" s="137">
        <f t="shared" ca="1" si="9"/>
        <v>6051.6100000000006</v>
      </c>
      <c r="O32" s="138">
        <f t="shared" ca="1" si="10"/>
        <v>3033.88</v>
      </c>
      <c r="P32" s="138">
        <f t="shared" ca="1" si="11"/>
        <v>35.299999999999997</v>
      </c>
      <c r="Q32" s="138">
        <f t="shared" ca="1" si="12"/>
        <v>0</v>
      </c>
      <c r="R32" s="138">
        <f t="shared" ca="1" si="13"/>
        <v>0</v>
      </c>
      <c r="S32" s="138">
        <f t="shared" ca="1" si="14"/>
        <v>35533</v>
      </c>
      <c r="T32" s="140">
        <f t="shared" ca="1" si="15"/>
        <v>9922.3205931323755</v>
      </c>
      <c r="U32" s="141">
        <f t="shared" ca="1" si="16"/>
        <v>252.1504166666667</v>
      </c>
      <c r="V32" s="137">
        <f t="shared" ca="1" si="17"/>
        <v>6931250</v>
      </c>
      <c r="Y32">
        <f t="shared" ca="1" si="18"/>
        <v>0</v>
      </c>
      <c r="Z32">
        <f t="shared" ca="1" si="19"/>
        <v>0</v>
      </c>
      <c r="AA32">
        <f t="shared" ca="1" si="20"/>
        <v>0</v>
      </c>
      <c r="AB32">
        <f t="shared" ca="1" si="21"/>
        <v>0</v>
      </c>
      <c r="AC32">
        <f t="shared" ca="1" si="22"/>
        <v>0</v>
      </c>
      <c r="AD32">
        <f t="shared" ca="1" si="23"/>
        <v>0</v>
      </c>
    </row>
    <row r="33" spans="2:30" x14ac:dyDescent="0.25">
      <c r="B33" s="136" t="s">
        <v>145</v>
      </c>
      <c r="C33" s="137">
        <f t="shared" ca="1" si="0"/>
        <v>0</v>
      </c>
      <c r="D33" s="138">
        <f ca="1">IFERROR(INDIRECT("'"&amp;B33&amp;"'!V36"),0)</f>
        <v>0</v>
      </c>
      <c r="E33" s="138">
        <f t="shared" ca="1" si="2"/>
        <v>0</v>
      </c>
      <c r="F33" s="138">
        <f t="shared" ca="1" si="3"/>
        <v>0</v>
      </c>
      <c r="G33" s="138">
        <f t="shared" ca="1" si="4"/>
        <v>39553.481197000001</v>
      </c>
      <c r="H33" s="139">
        <f t="shared" ca="1" si="5"/>
        <v>38541</v>
      </c>
      <c r="I33" s="140" t="str">
        <f t="shared" ca="1" si="6"/>
        <v/>
      </c>
      <c r="J33" s="141">
        <f t="shared" ca="1" si="7"/>
        <v>0</v>
      </c>
      <c r="K33" s="142">
        <f t="shared" ca="1" si="8"/>
        <v>0</v>
      </c>
      <c r="M33" s="136" t="s">
        <v>145</v>
      </c>
      <c r="N33" s="137">
        <f t="shared" ca="1" si="9"/>
        <v>4787.579999999999</v>
      </c>
      <c r="O33" s="138">
        <f t="shared" ca="1" si="10"/>
        <v>2459.16</v>
      </c>
      <c r="P33" s="138">
        <f t="shared" ca="1" si="11"/>
        <v>74.099999999999909</v>
      </c>
      <c r="Q33" s="138">
        <f t="shared" ca="1" si="12"/>
        <v>0</v>
      </c>
      <c r="R33" s="138">
        <f t="shared" ca="1" si="13"/>
        <v>37950.909999999996</v>
      </c>
      <c r="S33" s="138">
        <f t="shared" ca="1" si="14"/>
        <v>30494</v>
      </c>
      <c r="T33" s="140">
        <f t="shared" ca="1" si="15"/>
        <v>9709.0296820543717</v>
      </c>
      <c r="U33" s="141">
        <f t="shared" ca="1" si="16"/>
        <v>199.48249999999996</v>
      </c>
      <c r="V33" s="137">
        <f t="shared" ca="1" si="17"/>
        <v>5471520</v>
      </c>
      <c r="Y33">
        <f t="shared" ca="1" si="18"/>
        <v>0</v>
      </c>
      <c r="Z33">
        <f t="shared" ca="1" si="19"/>
        <v>0</v>
      </c>
      <c r="AA33">
        <f t="shared" ca="1" si="20"/>
        <v>0</v>
      </c>
      <c r="AB33">
        <f t="shared" ca="1" si="21"/>
        <v>0</v>
      </c>
      <c r="AC33">
        <f t="shared" ca="1" si="22"/>
        <v>0</v>
      </c>
      <c r="AD33">
        <f t="shared" ca="1" si="23"/>
        <v>0</v>
      </c>
    </row>
    <row r="34" spans="2:30" x14ac:dyDescent="0.25">
      <c r="B34" s="136" t="s">
        <v>146</v>
      </c>
      <c r="C34" s="137">
        <f t="shared" ca="1" si="0"/>
        <v>0</v>
      </c>
      <c r="D34" s="138">
        <f t="shared" ca="1" si="1"/>
        <v>0</v>
      </c>
      <c r="E34" s="138">
        <f t="shared" ca="1" si="2"/>
        <v>0</v>
      </c>
      <c r="F34" s="138">
        <f t="shared" ca="1" si="3"/>
        <v>0</v>
      </c>
      <c r="G34" s="138">
        <f t="shared" ca="1" si="4"/>
        <v>23216.371747000001</v>
      </c>
      <c r="H34" s="139">
        <f t="shared" ca="1" si="5"/>
        <v>23244</v>
      </c>
      <c r="I34" s="140" t="str">
        <f t="shared" ca="1" si="6"/>
        <v/>
      </c>
      <c r="J34" s="141">
        <f t="shared" ca="1" si="7"/>
        <v>0</v>
      </c>
      <c r="K34" s="142">
        <f t="shared" ca="1" si="8"/>
        <v>0</v>
      </c>
      <c r="M34" s="136" t="s">
        <v>146</v>
      </c>
      <c r="N34" s="137">
        <f t="shared" ca="1" si="9"/>
        <v>0</v>
      </c>
      <c r="O34" s="138">
        <f t="shared" ca="1" si="10"/>
        <v>0</v>
      </c>
      <c r="P34" s="138">
        <f t="shared" ca="1" si="11"/>
        <v>0</v>
      </c>
      <c r="Q34" s="138">
        <f t="shared" ca="1" si="12"/>
        <v>0</v>
      </c>
      <c r="R34" s="143">
        <f t="shared" ca="1" si="13"/>
        <v>134855.50999999998</v>
      </c>
      <c r="S34" s="138">
        <f t="shared" ca="1" si="14"/>
        <v>7316</v>
      </c>
      <c r="T34" s="140" t="str">
        <f t="shared" ca="1" si="15"/>
        <v/>
      </c>
      <c r="U34" s="141">
        <f t="shared" ca="1" si="16"/>
        <v>0</v>
      </c>
      <c r="V34" s="137">
        <f t="shared" ca="1" si="17"/>
        <v>0</v>
      </c>
      <c r="Y34">
        <f t="shared" ca="1" si="18"/>
        <v>0</v>
      </c>
      <c r="Z34">
        <f t="shared" ca="1" si="19"/>
        <v>0</v>
      </c>
      <c r="AA34">
        <f t="shared" ca="1" si="20"/>
        <v>0</v>
      </c>
      <c r="AB34">
        <f t="shared" ca="1" si="21"/>
        <v>0</v>
      </c>
      <c r="AC34">
        <f t="shared" ca="1" si="22"/>
        <v>0</v>
      </c>
      <c r="AD34">
        <f t="shared" ca="1" si="23"/>
        <v>0</v>
      </c>
    </row>
    <row r="35" spans="2:30" ht="15.75" thickBot="1" x14ac:dyDescent="0.3">
      <c r="B35" s="144" t="s">
        <v>147</v>
      </c>
      <c r="C35" s="145">
        <f t="shared" ca="1" si="0"/>
        <v>0</v>
      </c>
      <c r="D35" s="146">
        <f t="shared" ca="1" si="1"/>
        <v>0</v>
      </c>
      <c r="E35" s="146">
        <f t="shared" ca="1" si="2"/>
        <v>0</v>
      </c>
      <c r="F35" s="146">
        <f t="shared" ca="1" si="3"/>
        <v>0</v>
      </c>
      <c r="G35" s="146">
        <f t="shared" ca="1" si="4"/>
        <v>0</v>
      </c>
      <c r="H35" s="147">
        <f t="shared" ca="1" si="5"/>
        <v>0</v>
      </c>
      <c r="I35" s="148">
        <f ca="1">IFERROR(INDIRECT("'"&amp;B35&amp;"'!N36"),0)</f>
        <v>0</v>
      </c>
      <c r="J35" s="149">
        <f ca="1">+C35/24</f>
        <v>0</v>
      </c>
      <c r="K35" s="150">
        <f t="shared" ca="1" si="8"/>
        <v>0</v>
      </c>
      <c r="M35" s="144" t="s">
        <v>147</v>
      </c>
      <c r="N35" s="145">
        <f t="shared" ca="1" si="9"/>
        <v>0</v>
      </c>
      <c r="O35" s="146">
        <f t="shared" ca="1" si="10"/>
        <v>0</v>
      </c>
      <c r="P35" s="146">
        <f t="shared" ca="1" si="11"/>
        <v>0</v>
      </c>
      <c r="Q35" s="146">
        <f t="shared" ca="1" si="12"/>
        <v>0</v>
      </c>
      <c r="R35" s="151">
        <f t="shared" ca="1" si="13"/>
        <v>0</v>
      </c>
      <c r="S35" s="146">
        <f t="shared" ca="1" si="14"/>
        <v>0</v>
      </c>
      <c r="T35" s="148">
        <f t="shared" ca="1" si="15"/>
        <v>0</v>
      </c>
      <c r="U35" s="149">
        <f t="shared" ca="1" si="16"/>
        <v>0</v>
      </c>
      <c r="V35" s="145">
        <f t="shared" ca="1" si="17"/>
        <v>0</v>
      </c>
      <c r="Y35">
        <f t="shared" ca="1" si="18"/>
        <v>0</v>
      </c>
      <c r="Z35">
        <f t="shared" ca="1" si="19"/>
        <v>0</v>
      </c>
      <c r="AA35">
        <f t="shared" ca="1" si="20"/>
        <v>0</v>
      </c>
      <c r="AB35">
        <f t="shared" ca="1" si="21"/>
        <v>0</v>
      </c>
      <c r="AC35">
        <f t="shared" ca="1" si="22"/>
        <v>0</v>
      </c>
      <c r="AD35">
        <f t="shared" ca="1" si="23"/>
        <v>0</v>
      </c>
    </row>
    <row r="36" spans="2:30" ht="15.75" thickBot="1" x14ac:dyDescent="0.3">
      <c r="C36" s="152">
        <f ca="1">SUM(C5:C35)</f>
        <v>50263.6</v>
      </c>
      <c r="D36" s="153">
        <f ca="1">SUM(D5:D35)</f>
        <v>27408.17</v>
      </c>
      <c r="E36" s="153">
        <f t="shared" ref="E36:H36" ca="1" si="24">SUM(E5:E35)</f>
        <v>84.500000000000128</v>
      </c>
      <c r="F36" s="153">
        <f t="shared" ca="1" si="24"/>
        <v>19861.882543328345</v>
      </c>
      <c r="G36" s="153">
        <f t="shared" ca="1" si="24"/>
        <v>906006.50765100017</v>
      </c>
      <c r="H36" s="154">
        <f t="shared" ca="1" si="24"/>
        <v>7075211</v>
      </c>
      <c r="I36" s="155">
        <f ca="1">+AVERAGE(I5:I35)</f>
        <v>22634.563419376351</v>
      </c>
      <c r="J36" s="111"/>
      <c r="K36" s="156">
        <f ca="1">SUM(K5:K35)</f>
        <v>54105610</v>
      </c>
      <c r="N36" s="152">
        <f ca="1">SUM(N5:N35)</f>
        <v>40150.770000000004</v>
      </c>
      <c r="O36" s="153">
        <f ca="1">SUM(O5:O35)</f>
        <v>22238.81</v>
      </c>
      <c r="P36" s="153">
        <f t="shared" ref="P36:S36" ca="1" si="25">SUM(P5:P35)</f>
        <v>264.59999999999991</v>
      </c>
      <c r="Q36" s="153">
        <f t="shared" ca="1" si="25"/>
        <v>12181.259999999998</v>
      </c>
      <c r="R36" s="153">
        <f t="shared" ca="1" si="25"/>
        <v>2871655.8504469995</v>
      </c>
      <c r="S36" s="154">
        <f t="shared" ca="1" si="25"/>
        <v>406975</v>
      </c>
      <c r="T36" s="155">
        <f ca="1">+AVERAGE(T5:T35)</f>
        <v>13587.621226326013</v>
      </c>
      <c r="V36" s="156">
        <f ca="1">SUM(V5:V35)</f>
        <v>47185280</v>
      </c>
    </row>
    <row r="37" spans="2:30" ht="19.5" thickBot="1" x14ac:dyDescent="0.35">
      <c r="C37" s="162" t="s">
        <v>148</v>
      </c>
      <c r="D37" s="163"/>
      <c r="E37" s="157">
        <f ca="1">+D36*(D1*E1)/(C36*1000)</f>
        <v>10920.381974716016</v>
      </c>
      <c r="H37" s="158"/>
      <c r="N37" s="162" t="s">
        <v>148</v>
      </c>
      <c r="O37" s="163"/>
      <c r="P37" s="157">
        <f ca="1">+O36*(D1*E1)/(N36*1000)</f>
        <v>11092.490019252306</v>
      </c>
    </row>
  </sheetData>
  <mergeCells count="4">
    <mergeCell ref="B3:K3"/>
    <mergeCell ref="M3:V3"/>
    <mergeCell ref="C37:D37"/>
    <mergeCell ref="N37:O3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D993-DBCE-4032-A185-F0EB55A64097}">
  <dimension ref="A1:Z109"/>
  <sheetViews>
    <sheetView tabSelected="1" topLeftCell="A30" zoomScale="90" zoomScaleNormal="90" workbookViewId="0">
      <selection activeCell="X54" sqref="X54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1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77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0</v>
      </c>
      <c r="C12" s="28">
        <v>1374.38</v>
      </c>
      <c r="D12" s="28">
        <v>0</v>
      </c>
      <c r="E12" s="28">
        <v>0</v>
      </c>
      <c r="F12" s="28">
        <v>0</v>
      </c>
      <c r="G12" s="28">
        <f t="shared" ref="G12:G35" si="0">+E12+F12</f>
        <v>0</v>
      </c>
      <c r="H12" s="28">
        <v>1136.77</v>
      </c>
      <c r="I12" s="28">
        <v>1111.27</v>
      </c>
      <c r="J12" s="29">
        <v>0</v>
      </c>
      <c r="K12" s="28">
        <f t="shared" ref="K12:K35" si="1">IF(J12=0,0,100*(G12-J12)/J12)</f>
        <v>0</v>
      </c>
      <c r="L12" s="28"/>
      <c r="M12" s="28"/>
      <c r="N12" s="28" t="str">
        <f t="shared" ref="N12:N35" si="2">IFERROR(V12*1000*2.2*$K$46/G12/1000,"")</f>
        <v/>
      </c>
      <c r="O12" s="28" t="str">
        <f t="shared" ref="O12:O35" si="3">IF(OR(K12&gt;5,K12&lt;-5),G12-J12,"")</f>
        <v/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f t="shared" ref="V12:V35" si="4">+SUM(P12:U12)</f>
        <v>0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0</v>
      </c>
      <c r="C13" s="28">
        <v>1387.2</v>
      </c>
      <c r="D13" s="28">
        <v>0</v>
      </c>
      <c r="E13" s="28">
        <v>0</v>
      </c>
      <c r="F13" s="28">
        <v>0</v>
      </c>
      <c r="G13" s="28">
        <f t="shared" si="0"/>
        <v>0</v>
      </c>
      <c r="H13" s="28">
        <v>1087.0999999999999</v>
      </c>
      <c r="I13" s="28">
        <v>1062.57</v>
      </c>
      <c r="J13" s="29">
        <v>0</v>
      </c>
      <c r="K13" s="28">
        <f t="shared" si="1"/>
        <v>0</v>
      </c>
      <c r="L13" s="28"/>
      <c r="M13" s="28"/>
      <c r="N13" s="28" t="str">
        <f t="shared" si="2"/>
        <v/>
      </c>
      <c r="O13" s="28" t="str">
        <f t="shared" si="3"/>
        <v/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f t="shared" si="4"/>
        <v>0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0</v>
      </c>
      <c r="C14" s="28">
        <v>1368.99</v>
      </c>
      <c r="D14" s="28">
        <v>0</v>
      </c>
      <c r="E14" s="28">
        <v>0</v>
      </c>
      <c r="F14" s="28">
        <v>0</v>
      </c>
      <c r="G14" s="28">
        <f t="shared" si="0"/>
        <v>0</v>
      </c>
      <c r="H14" s="28">
        <v>1103.27</v>
      </c>
      <c r="I14" s="28">
        <v>1080.06</v>
      </c>
      <c r="J14" s="29">
        <v>0</v>
      </c>
      <c r="K14" s="28">
        <f t="shared" si="1"/>
        <v>0</v>
      </c>
      <c r="L14" s="28"/>
      <c r="M14" s="28"/>
      <c r="N14" s="28" t="str">
        <f t="shared" si="2"/>
        <v/>
      </c>
      <c r="O14" s="28" t="str">
        <f t="shared" si="3"/>
        <v/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f t="shared" si="4"/>
        <v>0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0</v>
      </c>
      <c r="C15" s="28">
        <v>1402.96</v>
      </c>
      <c r="D15" s="28">
        <v>0</v>
      </c>
      <c r="E15" s="28">
        <v>0</v>
      </c>
      <c r="F15" s="28">
        <v>0</v>
      </c>
      <c r="G15" s="28">
        <f t="shared" si="0"/>
        <v>0</v>
      </c>
      <c r="H15" s="28">
        <v>1102.69</v>
      </c>
      <c r="I15" s="28">
        <v>1080.24</v>
      </c>
      <c r="J15" s="29">
        <v>0</v>
      </c>
      <c r="K15" s="28">
        <f t="shared" si="1"/>
        <v>0</v>
      </c>
      <c r="L15" s="28"/>
      <c r="M15" s="28"/>
      <c r="N15" s="28" t="str">
        <f t="shared" si="2"/>
        <v/>
      </c>
      <c r="O15" s="28" t="str">
        <f t="shared" si="3"/>
        <v/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f t="shared" si="4"/>
        <v>0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0</v>
      </c>
      <c r="C16" s="28">
        <v>1412.23</v>
      </c>
      <c r="D16" s="28">
        <v>0</v>
      </c>
      <c r="E16" s="28">
        <v>0</v>
      </c>
      <c r="F16" s="28">
        <v>0</v>
      </c>
      <c r="G16" s="28">
        <f t="shared" si="0"/>
        <v>0</v>
      </c>
      <c r="H16" s="28">
        <v>1093.3699999999999</v>
      </c>
      <c r="I16" s="28">
        <v>1071.9100000000001</v>
      </c>
      <c r="J16" s="29">
        <v>0</v>
      </c>
      <c r="K16" s="28">
        <f t="shared" si="1"/>
        <v>0</v>
      </c>
      <c r="L16" s="28"/>
      <c r="M16" s="28"/>
      <c r="N16" s="28" t="str">
        <f t="shared" si="2"/>
        <v/>
      </c>
      <c r="O16" s="28" t="str">
        <f t="shared" si="3"/>
        <v/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f t="shared" si="4"/>
        <v>0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0</v>
      </c>
      <c r="C17" s="28">
        <v>1400.1</v>
      </c>
      <c r="D17" s="28">
        <v>0</v>
      </c>
      <c r="E17" s="28">
        <v>0</v>
      </c>
      <c r="F17" s="28">
        <v>0</v>
      </c>
      <c r="G17" s="28">
        <f t="shared" si="0"/>
        <v>0</v>
      </c>
      <c r="H17" s="28">
        <v>1042.94</v>
      </c>
      <c r="I17" s="28">
        <v>1021.76</v>
      </c>
      <c r="J17" s="29">
        <v>0</v>
      </c>
      <c r="K17" s="28">
        <f t="shared" si="1"/>
        <v>0</v>
      </c>
      <c r="L17" s="28"/>
      <c r="M17" s="28"/>
      <c r="N17" s="28" t="str">
        <f t="shared" si="2"/>
        <v/>
      </c>
      <c r="O17" s="28" t="str">
        <f t="shared" si="3"/>
        <v/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f t="shared" si="4"/>
        <v>0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0</v>
      </c>
      <c r="C18" s="28">
        <v>1417.62</v>
      </c>
      <c r="D18" s="28">
        <v>0</v>
      </c>
      <c r="E18" s="28">
        <v>0</v>
      </c>
      <c r="F18" s="28">
        <v>0</v>
      </c>
      <c r="G18" s="28">
        <f t="shared" si="0"/>
        <v>0</v>
      </c>
      <c r="H18" s="28">
        <v>1030.93</v>
      </c>
      <c r="I18" s="28">
        <v>1012.5</v>
      </c>
      <c r="J18" s="29">
        <v>0</v>
      </c>
      <c r="K18" s="28">
        <f t="shared" si="1"/>
        <v>0</v>
      </c>
      <c r="L18" s="28"/>
      <c r="M18" s="28"/>
      <c r="N18" s="28" t="str">
        <f t="shared" si="2"/>
        <v/>
      </c>
      <c r="O18" s="28" t="str">
        <f t="shared" si="3"/>
        <v/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f t="shared" si="4"/>
        <v>0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0</v>
      </c>
      <c r="C19" s="28">
        <v>1447.42</v>
      </c>
      <c r="D19" s="28">
        <v>0</v>
      </c>
      <c r="E19" s="28">
        <v>0</v>
      </c>
      <c r="F19" s="28">
        <v>0</v>
      </c>
      <c r="G19" s="28">
        <f t="shared" si="0"/>
        <v>0</v>
      </c>
      <c r="H19" s="28">
        <v>1035.3599999999999</v>
      </c>
      <c r="I19" s="28">
        <v>1017.45</v>
      </c>
      <c r="J19" s="29">
        <v>0</v>
      </c>
      <c r="K19" s="28">
        <f t="shared" si="1"/>
        <v>0</v>
      </c>
      <c r="L19" s="28"/>
      <c r="M19" s="28"/>
      <c r="N19" s="28" t="str">
        <f t="shared" si="2"/>
        <v/>
      </c>
      <c r="O19" s="28" t="str">
        <f t="shared" si="3"/>
        <v/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f t="shared" si="4"/>
        <v>0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0</v>
      </c>
      <c r="C20" s="28">
        <v>1449.3200000000002</v>
      </c>
      <c r="D20" s="28">
        <v>0</v>
      </c>
      <c r="E20" s="28">
        <v>0</v>
      </c>
      <c r="F20" s="28">
        <v>0</v>
      </c>
      <c r="G20" s="28">
        <f t="shared" si="0"/>
        <v>0</v>
      </c>
      <c r="H20" s="28">
        <v>1056.32</v>
      </c>
      <c r="I20" s="28">
        <v>1051.1600000000001</v>
      </c>
      <c r="J20" s="29">
        <v>0</v>
      </c>
      <c r="K20" s="28">
        <f t="shared" si="1"/>
        <v>0</v>
      </c>
      <c r="L20" s="28"/>
      <c r="M20" s="28"/>
      <c r="N20" s="28" t="str">
        <f t="shared" si="2"/>
        <v/>
      </c>
      <c r="O20" s="28" t="str">
        <f t="shared" si="3"/>
        <v/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f t="shared" si="4"/>
        <v>0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0</v>
      </c>
      <c r="C21" s="28">
        <v>1440.46</v>
      </c>
      <c r="D21" s="28">
        <v>0</v>
      </c>
      <c r="E21" s="28">
        <v>0</v>
      </c>
      <c r="F21" s="28">
        <v>0</v>
      </c>
      <c r="G21" s="28">
        <f t="shared" si="0"/>
        <v>0</v>
      </c>
      <c r="H21" s="28">
        <v>1087.2</v>
      </c>
      <c r="I21" s="28">
        <v>1099.2</v>
      </c>
      <c r="J21" s="29">
        <v>0</v>
      </c>
      <c r="K21" s="28">
        <f t="shared" si="1"/>
        <v>0</v>
      </c>
      <c r="L21" s="28"/>
      <c r="M21" s="28"/>
      <c r="N21" s="28" t="str">
        <f t="shared" si="2"/>
        <v/>
      </c>
      <c r="O21" s="28" t="str">
        <f t="shared" si="3"/>
        <v/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f t="shared" si="4"/>
        <v>0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0</v>
      </c>
      <c r="C22" s="28">
        <v>1403.26</v>
      </c>
      <c r="D22" s="28">
        <v>0</v>
      </c>
      <c r="E22" s="28">
        <v>0</v>
      </c>
      <c r="F22" s="28">
        <v>0</v>
      </c>
      <c r="G22" s="28">
        <f t="shared" si="0"/>
        <v>0</v>
      </c>
      <c r="H22" s="28">
        <v>1132.2</v>
      </c>
      <c r="I22" s="28">
        <v>1146.68</v>
      </c>
      <c r="J22" s="29">
        <v>0</v>
      </c>
      <c r="K22" s="28">
        <f t="shared" si="1"/>
        <v>0</v>
      </c>
      <c r="L22" s="28"/>
      <c r="M22" s="28"/>
      <c r="N22" s="28" t="str">
        <f t="shared" si="2"/>
        <v/>
      </c>
      <c r="O22" s="28" t="str">
        <f t="shared" si="3"/>
        <v/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f t="shared" si="4"/>
        <v>0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0</v>
      </c>
      <c r="C23" s="28">
        <v>1438.5500000000002</v>
      </c>
      <c r="D23" s="28">
        <v>0</v>
      </c>
      <c r="E23" s="28">
        <v>0</v>
      </c>
      <c r="F23" s="28">
        <v>0</v>
      </c>
      <c r="G23" s="28">
        <f t="shared" si="0"/>
        <v>0</v>
      </c>
      <c r="H23" s="28">
        <v>1116.6199999999999</v>
      </c>
      <c r="I23" s="28">
        <v>1142.1500000000001</v>
      </c>
      <c r="J23" s="29">
        <v>0</v>
      </c>
      <c r="K23" s="28">
        <f t="shared" si="1"/>
        <v>0</v>
      </c>
      <c r="L23" s="28"/>
      <c r="M23" s="28"/>
      <c r="N23" s="28" t="str">
        <f t="shared" si="2"/>
        <v/>
      </c>
      <c r="O23" s="28" t="str">
        <f t="shared" si="3"/>
        <v/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f t="shared" si="4"/>
        <v>0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0</v>
      </c>
      <c r="C24" s="28">
        <v>1459.31</v>
      </c>
      <c r="D24" s="28">
        <v>0</v>
      </c>
      <c r="E24" s="28">
        <v>0</v>
      </c>
      <c r="F24" s="28">
        <v>0</v>
      </c>
      <c r="G24" s="28">
        <f t="shared" si="0"/>
        <v>0</v>
      </c>
      <c r="H24" s="28">
        <v>1115.18</v>
      </c>
      <c r="I24" s="28">
        <v>1125.04</v>
      </c>
      <c r="J24" s="29">
        <v>0</v>
      </c>
      <c r="K24" s="28">
        <f t="shared" si="1"/>
        <v>0</v>
      </c>
      <c r="L24" s="28"/>
      <c r="M24" s="28"/>
      <c r="N24" s="28" t="str">
        <f t="shared" si="2"/>
        <v/>
      </c>
      <c r="O24" s="28" t="str">
        <f t="shared" si="3"/>
        <v/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f t="shared" si="4"/>
        <v>0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0</v>
      </c>
      <c r="C25" s="28">
        <v>1483.6399999999999</v>
      </c>
      <c r="D25" s="28">
        <v>0</v>
      </c>
      <c r="E25" s="28">
        <v>0</v>
      </c>
      <c r="F25" s="28">
        <v>0</v>
      </c>
      <c r="G25" s="28">
        <f t="shared" si="0"/>
        <v>0</v>
      </c>
      <c r="H25" s="28">
        <v>1081.55</v>
      </c>
      <c r="I25" s="28">
        <v>1077.7</v>
      </c>
      <c r="J25" s="29">
        <v>0</v>
      </c>
      <c r="K25" s="28">
        <f t="shared" si="1"/>
        <v>0</v>
      </c>
      <c r="L25" s="28"/>
      <c r="M25" s="28"/>
      <c r="N25" s="28" t="str">
        <f t="shared" si="2"/>
        <v/>
      </c>
      <c r="O25" s="28" t="str">
        <f t="shared" si="3"/>
        <v/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f t="shared" si="4"/>
        <v>0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0</v>
      </c>
      <c r="C26" s="28">
        <v>1409.28</v>
      </c>
      <c r="D26" s="28">
        <v>0</v>
      </c>
      <c r="E26" s="28">
        <v>0</v>
      </c>
      <c r="F26" s="28">
        <v>0</v>
      </c>
      <c r="G26" s="28">
        <f t="shared" si="0"/>
        <v>0</v>
      </c>
      <c r="H26" s="28">
        <v>1058.46</v>
      </c>
      <c r="I26" s="28">
        <v>1039.72</v>
      </c>
      <c r="J26" s="29">
        <v>0</v>
      </c>
      <c r="K26" s="28">
        <f t="shared" si="1"/>
        <v>0</v>
      </c>
      <c r="L26" s="28"/>
      <c r="M26" s="28"/>
      <c r="N26" s="28" t="str">
        <f t="shared" si="2"/>
        <v/>
      </c>
      <c r="O26" s="28" t="str">
        <f t="shared" si="3"/>
        <v/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f t="shared" si="4"/>
        <v>0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0</v>
      </c>
      <c r="C27" s="28">
        <v>1249.3399999999999</v>
      </c>
      <c r="D27" s="28">
        <v>0</v>
      </c>
      <c r="E27" s="28">
        <v>0</v>
      </c>
      <c r="F27" s="28">
        <v>0</v>
      </c>
      <c r="G27" s="28">
        <f t="shared" si="0"/>
        <v>0</v>
      </c>
      <c r="H27" s="28">
        <v>1074.79</v>
      </c>
      <c r="I27" s="28">
        <v>1052.71</v>
      </c>
      <c r="J27" s="29">
        <v>0</v>
      </c>
      <c r="K27" s="28">
        <f t="shared" si="1"/>
        <v>0</v>
      </c>
      <c r="L27" s="28"/>
      <c r="M27" s="28"/>
      <c r="N27" s="28" t="str">
        <f t="shared" si="2"/>
        <v/>
      </c>
      <c r="O27" s="28" t="str">
        <f t="shared" si="3"/>
        <v/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f t="shared" si="4"/>
        <v>0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0</v>
      </c>
      <c r="C28" s="28">
        <v>1354.38</v>
      </c>
      <c r="D28" s="28">
        <v>0</v>
      </c>
      <c r="E28" s="28">
        <v>0</v>
      </c>
      <c r="F28" s="28">
        <v>0</v>
      </c>
      <c r="G28" s="28">
        <f t="shared" si="0"/>
        <v>0</v>
      </c>
      <c r="H28" s="28">
        <v>1004.16</v>
      </c>
      <c r="I28" s="28">
        <v>980.11</v>
      </c>
      <c r="J28" s="29">
        <v>0</v>
      </c>
      <c r="K28" s="28">
        <f t="shared" si="1"/>
        <v>0</v>
      </c>
      <c r="L28" s="28"/>
      <c r="M28" s="28"/>
      <c r="N28" s="28" t="str">
        <f t="shared" si="2"/>
        <v/>
      </c>
      <c r="O28" s="28" t="str">
        <f t="shared" si="3"/>
        <v/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f t="shared" si="4"/>
        <v>0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0</v>
      </c>
      <c r="C29" s="28">
        <v>1273.8699999999999</v>
      </c>
      <c r="D29" s="28">
        <v>0</v>
      </c>
      <c r="E29" s="28">
        <v>0</v>
      </c>
      <c r="F29" s="28">
        <v>0</v>
      </c>
      <c r="G29" s="28">
        <f t="shared" si="0"/>
        <v>0</v>
      </c>
      <c r="H29" s="28">
        <v>1010.95</v>
      </c>
      <c r="I29" s="28">
        <v>986.3</v>
      </c>
      <c r="J29" s="29">
        <v>0</v>
      </c>
      <c r="K29" s="28">
        <f t="shared" si="1"/>
        <v>0</v>
      </c>
      <c r="L29" s="28"/>
      <c r="M29" s="28"/>
      <c r="N29" s="28" t="str">
        <f t="shared" si="2"/>
        <v/>
      </c>
      <c r="O29" s="28" t="str">
        <f t="shared" si="3"/>
        <v/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f t="shared" si="4"/>
        <v>0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0</v>
      </c>
      <c r="C30" s="28">
        <v>1343.69</v>
      </c>
      <c r="D30" s="28">
        <v>0</v>
      </c>
      <c r="E30" s="28">
        <v>0</v>
      </c>
      <c r="F30" s="28">
        <v>0</v>
      </c>
      <c r="G30" s="28">
        <f t="shared" si="0"/>
        <v>0</v>
      </c>
      <c r="H30" s="28">
        <v>960.84</v>
      </c>
      <c r="I30" s="28">
        <v>932.48</v>
      </c>
      <c r="J30" s="29">
        <v>0</v>
      </c>
      <c r="K30" s="28">
        <f t="shared" si="1"/>
        <v>0</v>
      </c>
      <c r="L30" s="28"/>
      <c r="M30" s="28"/>
      <c r="N30" s="28" t="str">
        <f t="shared" si="2"/>
        <v/>
      </c>
      <c r="O30" s="28" t="str">
        <f t="shared" si="3"/>
        <v/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f t="shared" si="4"/>
        <v>0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0</v>
      </c>
      <c r="C31" s="28">
        <v>1305.42</v>
      </c>
      <c r="D31" s="28">
        <v>4.07</v>
      </c>
      <c r="E31" s="28">
        <v>0</v>
      </c>
      <c r="F31" s="28">
        <v>0</v>
      </c>
      <c r="G31" s="28">
        <f t="shared" si="0"/>
        <v>0</v>
      </c>
      <c r="H31" s="28">
        <v>1028.79</v>
      </c>
      <c r="I31" s="28">
        <v>1001.4</v>
      </c>
      <c r="J31" s="29">
        <v>0</v>
      </c>
      <c r="K31" s="28">
        <f t="shared" si="1"/>
        <v>0</v>
      </c>
      <c r="L31" s="28"/>
      <c r="M31" s="28"/>
      <c r="N31" s="28" t="str">
        <f t="shared" si="2"/>
        <v/>
      </c>
      <c r="O31" s="28" t="str">
        <f t="shared" si="3"/>
        <v/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f t="shared" si="4"/>
        <v>0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0</v>
      </c>
      <c r="C32" s="28">
        <v>1305.9299999999998</v>
      </c>
      <c r="D32" s="28">
        <v>0</v>
      </c>
      <c r="E32" s="28">
        <v>0</v>
      </c>
      <c r="F32" s="28">
        <v>0</v>
      </c>
      <c r="G32" s="28">
        <f t="shared" si="0"/>
        <v>0</v>
      </c>
      <c r="H32" s="28">
        <v>1000.5</v>
      </c>
      <c r="I32" s="28">
        <v>971.82</v>
      </c>
      <c r="J32" s="29">
        <v>0</v>
      </c>
      <c r="K32" s="28">
        <f t="shared" si="1"/>
        <v>0</v>
      </c>
      <c r="L32" s="28"/>
      <c r="M32" s="28"/>
      <c r="N32" s="28" t="str">
        <f t="shared" si="2"/>
        <v/>
      </c>
      <c r="O32" s="28" t="str">
        <f t="shared" si="3"/>
        <v/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f t="shared" si="4"/>
        <v>0</v>
      </c>
      <c r="W32" s="28">
        <v>0</v>
      </c>
      <c r="X32" s="28">
        <v>0</v>
      </c>
      <c r="Y32" s="1"/>
      <c r="Z32" s="1"/>
    </row>
    <row r="33" spans="1:25" ht="16.5" x14ac:dyDescent="0.3">
      <c r="A33" s="30">
        <v>22</v>
      </c>
      <c r="B33" s="28">
        <v>0</v>
      </c>
      <c r="C33" s="28">
        <v>1281.81</v>
      </c>
      <c r="D33" s="28">
        <v>0</v>
      </c>
      <c r="E33" s="28">
        <v>0</v>
      </c>
      <c r="F33" s="28">
        <v>0</v>
      </c>
      <c r="G33" s="28">
        <f t="shared" si="0"/>
        <v>0</v>
      </c>
      <c r="H33" s="28">
        <v>1012.89</v>
      </c>
      <c r="I33" s="28">
        <v>984.14</v>
      </c>
      <c r="J33" s="29">
        <v>0</v>
      </c>
      <c r="K33" s="28">
        <f t="shared" si="1"/>
        <v>0</v>
      </c>
      <c r="L33" s="28"/>
      <c r="M33" s="28"/>
      <c r="N33" s="28" t="str">
        <f t="shared" si="2"/>
        <v/>
      </c>
      <c r="O33" s="28" t="str">
        <f t="shared" si="3"/>
        <v/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f t="shared" si="4"/>
        <v>0</v>
      </c>
      <c r="W33" s="28">
        <v>0</v>
      </c>
      <c r="X33" s="28">
        <v>0</v>
      </c>
    </row>
    <row r="34" spans="1:25" ht="16.5" x14ac:dyDescent="0.3">
      <c r="A34" s="30">
        <v>23</v>
      </c>
      <c r="B34" s="28">
        <v>0</v>
      </c>
      <c r="C34" s="28">
        <v>1300.8000000000002</v>
      </c>
      <c r="D34" s="28">
        <v>0</v>
      </c>
      <c r="E34" s="28">
        <v>0</v>
      </c>
      <c r="F34" s="28">
        <v>0</v>
      </c>
      <c r="G34" s="28">
        <f t="shared" si="0"/>
        <v>0</v>
      </c>
      <c r="H34" s="28">
        <v>984.42</v>
      </c>
      <c r="I34" s="28">
        <v>955.14</v>
      </c>
      <c r="J34" s="29">
        <v>0</v>
      </c>
      <c r="K34" s="28">
        <f t="shared" si="1"/>
        <v>0</v>
      </c>
      <c r="L34" s="28"/>
      <c r="M34" s="28"/>
      <c r="N34" s="28" t="str">
        <f t="shared" si="2"/>
        <v/>
      </c>
      <c r="O34" s="28" t="str">
        <f t="shared" si="3"/>
        <v/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f t="shared" si="4"/>
        <v>0</v>
      </c>
      <c r="W34" s="28">
        <v>0</v>
      </c>
      <c r="X34" s="28">
        <v>0</v>
      </c>
    </row>
    <row r="35" spans="1:25" ht="17.25" customHeight="1" thickBot="1" x14ac:dyDescent="0.35">
      <c r="A35" s="33">
        <v>24</v>
      </c>
      <c r="B35" s="28">
        <v>0</v>
      </c>
      <c r="C35" s="28">
        <v>1447.1799999999998</v>
      </c>
      <c r="D35" s="28">
        <v>7.73</v>
      </c>
      <c r="E35" s="28">
        <v>0</v>
      </c>
      <c r="F35" s="28">
        <v>0</v>
      </c>
      <c r="G35" s="28">
        <f t="shared" si="0"/>
        <v>0</v>
      </c>
      <c r="H35" s="28">
        <v>1098.47</v>
      </c>
      <c r="I35" s="28">
        <v>1075.68</v>
      </c>
      <c r="J35" s="29">
        <v>0</v>
      </c>
      <c r="K35" s="28">
        <f t="shared" si="1"/>
        <v>0</v>
      </c>
      <c r="L35" s="28"/>
      <c r="M35" s="28"/>
      <c r="N35" s="28" t="str">
        <f t="shared" si="2"/>
        <v/>
      </c>
      <c r="O35" s="28" t="str">
        <f t="shared" si="3"/>
        <v/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f t="shared" si="4"/>
        <v>0</v>
      </c>
      <c r="W35" s="28">
        <v>0</v>
      </c>
      <c r="X35" s="28">
        <v>0</v>
      </c>
    </row>
    <row r="36" spans="1:25" ht="17.25" thickBot="1" x14ac:dyDescent="0.3">
      <c r="A36" s="34" t="s">
        <v>46</v>
      </c>
      <c r="B36" s="35">
        <f t="shared" ref="B36:J36" si="5">SUM(B12:B35)</f>
        <v>0</v>
      </c>
      <c r="C36" s="35">
        <f t="shared" si="5"/>
        <v>33157.14</v>
      </c>
      <c r="D36" s="35">
        <f t="shared" si="5"/>
        <v>11.8</v>
      </c>
      <c r="E36" s="35">
        <f t="shared" si="5"/>
        <v>0</v>
      </c>
      <c r="F36" s="35">
        <f t="shared" si="5"/>
        <v>0</v>
      </c>
      <c r="G36" s="35">
        <f t="shared" si="5"/>
        <v>0</v>
      </c>
      <c r="H36" s="35">
        <f t="shared" si="5"/>
        <v>25455.77</v>
      </c>
      <c r="I36" s="35">
        <f t="shared" si="5"/>
        <v>25079.190000000002</v>
      </c>
      <c r="J36" s="35">
        <f t="shared" si="5"/>
        <v>0</v>
      </c>
      <c r="K36" s="36"/>
      <c r="L36" s="37"/>
      <c r="M36" s="38"/>
      <c r="N36" s="35" t="str">
        <f>IFERROR(AVERAGE(N12:N35),"")</f>
        <v/>
      </c>
      <c r="O36" s="39">
        <f t="shared" ref="O36" si="6">SUM(O12:O35)</f>
        <v>0</v>
      </c>
      <c r="P36" s="39">
        <f>SUM(P12:P35)</f>
        <v>0</v>
      </c>
      <c r="Q36" s="39">
        <f t="shared" ref="Q36:U36" si="7">SUM(Q12:Q35)</f>
        <v>0</v>
      </c>
      <c r="R36" s="39">
        <f t="shared" si="7"/>
        <v>0</v>
      </c>
      <c r="S36" s="39">
        <f t="shared" si="7"/>
        <v>0</v>
      </c>
      <c r="T36" s="39">
        <f t="shared" si="7"/>
        <v>0</v>
      </c>
      <c r="U36" s="39">
        <f t="shared" si="7"/>
        <v>0</v>
      </c>
      <c r="V36" s="39">
        <f>SUM(V12:V35)</f>
        <v>0</v>
      </c>
      <c r="W36" s="40">
        <f>SUM(W12:W35)</f>
        <v>0</v>
      </c>
      <c r="X36" s="40">
        <f>SUM(X12:X35)</f>
        <v>0</v>
      </c>
    </row>
    <row r="37" spans="1:25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</row>
    <row r="38" spans="1:25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5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5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+X39+X36</f>
        <v>0</v>
      </c>
    </row>
    <row r="41" spans="1:25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50534.960000000006</v>
      </c>
      <c r="J41" s="41"/>
      <c r="K41" s="13" t="s">
        <v>59</v>
      </c>
      <c r="L41" s="55">
        <v>52618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5" ht="17.25" thickBot="1" x14ac:dyDescent="0.3">
      <c r="A42" s="56">
        <v>0</v>
      </c>
      <c r="B42" s="57">
        <v>1</v>
      </c>
      <c r="C42" s="57">
        <v>0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60">
        <v>10997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5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5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5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5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5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 t="str">
        <f>IFERROR(3412.14/N36,"")</f>
        <v/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5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1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David Ortiz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36.75" customHeight="1" x14ac:dyDescent="0.25">
      <c r="A55" s="203" t="s">
        <v>11</v>
      </c>
      <c r="B55" s="206" t="s">
        <v>149</v>
      </c>
      <c r="C55" s="265" t="s">
        <v>150</v>
      </c>
      <c r="D55" s="208"/>
      <c r="E55" s="214" t="s">
        <v>151</v>
      </c>
      <c r="F55" s="191" t="s">
        <v>152</v>
      </c>
      <c r="G55" s="211" t="s">
        <v>153</v>
      </c>
      <c r="H55" s="188" t="s">
        <v>17</v>
      </c>
      <c r="I55" s="188" t="s">
        <v>154</v>
      </c>
      <c r="J55" s="188" t="s">
        <v>155</v>
      </c>
      <c r="K55" s="190" t="s">
        <v>156</v>
      </c>
      <c r="L55" s="191" t="s">
        <v>157</v>
      </c>
      <c r="M55" s="214" t="s">
        <v>158</v>
      </c>
      <c r="N55" s="194"/>
      <c r="O55" s="194"/>
      <c r="P55" s="194"/>
      <c r="Q55" s="194"/>
      <c r="R55" s="194"/>
      <c r="S55" s="194"/>
      <c r="T55" s="194"/>
      <c r="U55" s="195"/>
      <c r="V55" s="214" t="s">
        <v>159</v>
      </c>
      <c r="W55" s="206" t="s">
        <v>160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159260</v>
      </c>
      <c r="C58" s="28">
        <v>175</v>
      </c>
      <c r="D58" s="81">
        <v>1477.98</v>
      </c>
      <c r="E58" s="82">
        <v>130.19999999999999</v>
      </c>
      <c r="F58" s="83">
        <v>0</v>
      </c>
      <c r="G58" s="82">
        <v>226</v>
      </c>
      <c r="H58" s="84">
        <f t="shared" ref="H58:H81" si="8">IF(G58=0,0,100*(E58-G58)/G58)</f>
        <v>-42.389380530973462</v>
      </c>
      <c r="I58" s="85"/>
      <c r="J58" s="85" t="s">
        <v>73</v>
      </c>
      <c r="K58" s="86">
        <f t="shared" ref="K58:K81" si="9">IFERROR(U58*1000*2.2*$K$92/E58/1000,"")</f>
        <v>11517.984423963133</v>
      </c>
      <c r="L58" s="87">
        <f t="shared" ref="L58:L81" si="10">IF(OR(H58&gt;5,H58&lt;-5),E58-G58,"")</f>
        <v>-95.800000000000011</v>
      </c>
      <c r="M58" s="88">
        <v>9.64</v>
      </c>
      <c r="N58" s="88">
        <v>8.9600000000000009</v>
      </c>
      <c r="O58" s="88">
        <v>8.6199999999999992</v>
      </c>
      <c r="P58" s="88">
        <v>9.11</v>
      </c>
      <c r="Q58" s="88">
        <v>9.59</v>
      </c>
      <c r="R58" s="88">
        <v>9.09</v>
      </c>
      <c r="S58" s="88">
        <v>9.1</v>
      </c>
      <c r="T58" s="88">
        <v>11.68</v>
      </c>
      <c r="U58" s="28">
        <f>+SUM(M58:T58)</f>
        <v>75.789999999999992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158120</v>
      </c>
      <c r="C59" s="28">
        <v>4175.07</v>
      </c>
      <c r="D59" s="81">
        <v>3.88</v>
      </c>
      <c r="E59" s="82">
        <v>129.25</v>
      </c>
      <c r="F59" s="82">
        <v>0</v>
      </c>
      <c r="G59" s="82">
        <v>203</v>
      </c>
      <c r="H59" s="91">
        <f t="shared" si="8"/>
        <v>-36.330049261083744</v>
      </c>
      <c r="I59" s="85"/>
      <c r="J59" s="85" t="s">
        <v>73</v>
      </c>
      <c r="K59" s="86">
        <f t="shared" si="9"/>
        <v>11630.198808510639</v>
      </c>
      <c r="L59" s="87">
        <f t="shared" si="10"/>
        <v>-73.75</v>
      </c>
      <c r="M59" s="88">
        <v>9.65</v>
      </c>
      <c r="N59" s="88">
        <v>9.0299999999999994</v>
      </c>
      <c r="O59" s="88">
        <v>8.64</v>
      </c>
      <c r="P59" s="88">
        <v>9.16</v>
      </c>
      <c r="Q59" s="88">
        <v>9.5500000000000007</v>
      </c>
      <c r="R59" s="88">
        <v>9.16</v>
      </c>
      <c r="S59" s="88">
        <v>9.1</v>
      </c>
      <c r="T59" s="88">
        <v>11.68</v>
      </c>
      <c r="U59" s="28">
        <f t="shared" ref="U59:U81" si="11">+SUM(M59:T59)</f>
        <v>75.97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157130</v>
      </c>
      <c r="C60" s="28">
        <v>5461.57</v>
      </c>
      <c r="D60" s="81">
        <v>0</v>
      </c>
      <c r="E60" s="82">
        <v>128.38999999999999</v>
      </c>
      <c r="F60" s="82">
        <v>0</v>
      </c>
      <c r="G60" s="82">
        <v>178</v>
      </c>
      <c r="H60" s="91">
        <f t="shared" si="8"/>
        <v>-27.870786516853943</v>
      </c>
      <c r="I60" s="85"/>
      <c r="J60" s="85" t="s">
        <v>73</v>
      </c>
      <c r="K60" s="86">
        <f t="shared" si="9"/>
        <v>11666.4908481969</v>
      </c>
      <c r="L60" s="87">
        <f t="shared" si="10"/>
        <v>-49.610000000000014</v>
      </c>
      <c r="M60" s="88">
        <v>9.58</v>
      </c>
      <c r="N60" s="88">
        <v>8.9600000000000009</v>
      </c>
      <c r="O60" s="88">
        <v>8.65</v>
      </c>
      <c r="P60" s="88">
        <v>9.2200000000000006</v>
      </c>
      <c r="Q60" s="88">
        <v>9.58</v>
      </c>
      <c r="R60" s="88">
        <v>9.0399999999999991</v>
      </c>
      <c r="S60" s="88">
        <v>9.06</v>
      </c>
      <c r="T60" s="88">
        <v>11.61</v>
      </c>
      <c r="U60" s="28">
        <f t="shared" si="11"/>
        <v>75.699999999999989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157630</v>
      </c>
      <c r="C61" s="28">
        <v>12211.54</v>
      </c>
      <c r="D61" s="81">
        <v>0</v>
      </c>
      <c r="E61" s="82">
        <v>128.62</v>
      </c>
      <c r="F61" s="82">
        <v>0</v>
      </c>
      <c r="G61" s="82">
        <v>157</v>
      </c>
      <c r="H61" s="91">
        <f t="shared" si="8"/>
        <v>-18.076433121019104</v>
      </c>
      <c r="I61" s="85"/>
      <c r="J61" s="85" t="s">
        <v>73</v>
      </c>
      <c r="K61" s="86">
        <f t="shared" si="9"/>
        <v>11714.856320945417</v>
      </c>
      <c r="L61" s="87">
        <f t="shared" si="10"/>
        <v>-28.379999999999995</v>
      </c>
      <c r="M61" s="88">
        <v>9.66</v>
      </c>
      <c r="N61" s="88">
        <v>9.01</v>
      </c>
      <c r="O61" s="88">
        <v>8.65</v>
      </c>
      <c r="P61" s="88">
        <v>9.2799999999999994</v>
      </c>
      <c r="Q61" s="88">
        <v>9.59</v>
      </c>
      <c r="R61" s="88">
        <v>9.08</v>
      </c>
      <c r="S61" s="88">
        <v>9.14</v>
      </c>
      <c r="T61" s="88">
        <v>11.74</v>
      </c>
      <c r="U61" s="28">
        <f t="shared" si="11"/>
        <v>76.149999999999991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157850</v>
      </c>
      <c r="C62" s="28">
        <v>11317.61</v>
      </c>
      <c r="D62" s="81">
        <v>0</v>
      </c>
      <c r="E62" s="82">
        <v>129.25</v>
      </c>
      <c r="F62" s="82">
        <v>0</v>
      </c>
      <c r="G62" s="82">
        <v>142</v>
      </c>
      <c r="H62" s="91">
        <f t="shared" si="8"/>
        <v>-8.97887323943662</v>
      </c>
      <c r="I62" s="85"/>
      <c r="J62" s="85" t="s">
        <v>73</v>
      </c>
      <c r="K62" s="86">
        <f t="shared" si="9"/>
        <v>11662.347574468084</v>
      </c>
      <c r="L62" s="87">
        <f t="shared" si="10"/>
        <v>-12.75</v>
      </c>
      <c r="M62" s="88">
        <v>9.6300000000000008</v>
      </c>
      <c r="N62" s="88">
        <v>9.01</v>
      </c>
      <c r="O62" s="88">
        <v>8.7200000000000006</v>
      </c>
      <c r="P62" s="88">
        <v>9.25</v>
      </c>
      <c r="Q62" s="88">
        <v>9.65</v>
      </c>
      <c r="R62" s="88">
        <v>9.0299999999999994</v>
      </c>
      <c r="S62" s="88">
        <v>9.09</v>
      </c>
      <c r="T62" s="88">
        <v>11.8</v>
      </c>
      <c r="U62" s="28">
        <f t="shared" si="11"/>
        <v>76.179999999999993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158940</v>
      </c>
      <c r="C63" s="28">
        <v>9032.3700000000008</v>
      </c>
      <c r="D63" s="81">
        <v>0</v>
      </c>
      <c r="E63" s="82">
        <v>129.4</v>
      </c>
      <c r="F63" s="82">
        <v>0</v>
      </c>
      <c r="G63" s="82">
        <v>130</v>
      </c>
      <c r="H63" s="91">
        <f t="shared" si="8"/>
        <v>-0.46153846153845718</v>
      </c>
      <c r="I63" s="85"/>
      <c r="J63" s="85"/>
      <c r="K63" s="86">
        <f t="shared" si="9"/>
        <v>11847.614095826892</v>
      </c>
      <c r="L63" s="87" t="str">
        <f t="shared" si="10"/>
        <v/>
      </c>
      <c r="M63" s="88">
        <v>9.81</v>
      </c>
      <c r="N63" s="88">
        <v>9.17</v>
      </c>
      <c r="O63" s="88">
        <v>8.83</v>
      </c>
      <c r="P63" s="88">
        <v>9.3800000000000008</v>
      </c>
      <c r="Q63" s="88">
        <v>9.86</v>
      </c>
      <c r="R63" s="88">
        <v>9.1300000000000008</v>
      </c>
      <c r="S63" s="88">
        <v>9.35</v>
      </c>
      <c r="T63" s="88">
        <v>11.95</v>
      </c>
      <c r="U63" s="28">
        <f t="shared" si="11"/>
        <v>77.48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160290</v>
      </c>
      <c r="C64" s="28">
        <v>5856.38</v>
      </c>
      <c r="D64" s="81">
        <v>0</v>
      </c>
      <c r="E64" s="82">
        <v>130.83000000000001</v>
      </c>
      <c r="F64" s="82">
        <v>0</v>
      </c>
      <c r="G64" s="82">
        <v>130</v>
      </c>
      <c r="H64" s="91">
        <f t="shared" si="8"/>
        <v>0.63846153846154807</v>
      </c>
      <c r="I64" s="85"/>
      <c r="J64" s="85"/>
      <c r="K64" s="86">
        <f t="shared" si="9"/>
        <v>11687.869020866772</v>
      </c>
      <c r="L64" s="87" t="str">
        <f t="shared" si="10"/>
        <v/>
      </c>
      <c r="M64" s="88">
        <v>9.77</v>
      </c>
      <c r="N64" s="88">
        <v>9.17</v>
      </c>
      <c r="O64" s="88">
        <v>8.7899999999999991</v>
      </c>
      <c r="P64" s="88">
        <v>9.33</v>
      </c>
      <c r="Q64" s="88">
        <v>9.8800000000000008</v>
      </c>
      <c r="R64" s="88">
        <v>9.1</v>
      </c>
      <c r="S64" s="88">
        <v>9.3000000000000007</v>
      </c>
      <c r="T64" s="88">
        <v>11.94</v>
      </c>
      <c r="U64" s="28">
        <f t="shared" si="11"/>
        <v>77.28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160190</v>
      </c>
      <c r="C65" s="28">
        <v>1428.36</v>
      </c>
      <c r="D65" s="81">
        <v>198.06</v>
      </c>
      <c r="E65" s="82">
        <v>130.66</v>
      </c>
      <c r="F65" s="82">
        <v>0</v>
      </c>
      <c r="G65" s="82">
        <v>130</v>
      </c>
      <c r="H65" s="91">
        <f t="shared" si="8"/>
        <v>0.50769230769230511</v>
      </c>
      <c r="I65" s="85"/>
      <c r="J65" s="85"/>
      <c r="K65" s="86">
        <f t="shared" si="9"/>
        <v>11721.248431042401</v>
      </c>
      <c r="L65" s="87" t="str">
        <f t="shared" si="10"/>
        <v/>
      </c>
      <c r="M65" s="88">
        <v>9.7799999999999994</v>
      </c>
      <c r="N65" s="88">
        <v>9.15</v>
      </c>
      <c r="O65" s="88">
        <v>8.83</v>
      </c>
      <c r="P65" s="88">
        <v>9.4</v>
      </c>
      <c r="Q65" s="88">
        <v>9.89</v>
      </c>
      <c r="R65" s="88">
        <v>9.09</v>
      </c>
      <c r="S65" s="88">
        <v>9.31</v>
      </c>
      <c r="T65" s="88">
        <v>11.95</v>
      </c>
      <c r="U65" s="28">
        <f t="shared" si="11"/>
        <v>77.400000000000006</v>
      </c>
      <c r="V65" s="81">
        <v>13.466666666666665</v>
      </c>
      <c r="W65" s="81">
        <v>0</v>
      </c>
      <c r="X65" s="89"/>
      <c r="Y65"/>
    </row>
    <row r="66" spans="1:25" ht="16.5" x14ac:dyDescent="0.3">
      <c r="A66" s="90">
        <v>9</v>
      </c>
      <c r="B66" s="28">
        <v>160120</v>
      </c>
      <c r="C66" s="28">
        <v>55.46</v>
      </c>
      <c r="D66" s="81">
        <v>2720.52</v>
      </c>
      <c r="E66" s="82">
        <v>131.06</v>
      </c>
      <c r="F66" s="82">
        <v>0</v>
      </c>
      <c r="G66" s="82">
        <v>130</v>
      </c>
      <c r="H66" s="91">
        <f t="shared" si="8"/>
        <v>0.81538461538461715</v>
      </c>
      <c r="I66" s="85"/>
      <c r="J66" s="85"/>
      <c r="K66" s="86">
        <f t="shared" si="9"/>
        <v>11683.964993132915</v>
      </c>
      <c r="L66" s="87" t="str">
        <f t="shared" si="10"/>
        <v/>
      </c>
      <c r="M66" s="88">
        <v>9.7899999999999991</v>
      </c>
      <c r="N66" s="88">
        <v>9.16</v>
      </c>
      <c r="O66" s="88">
        <v>8.82</v>
      </c>
      <c r="P66" s="88">
        <v>9.43</v>
      </c>
      <c r="Q66" s="88">
        <v>9.84</v>
      </c>
      <c r="R66" s="88">
        <v>9.15</v>
      </c>
      <c r="S66" s="88">
        <v>9.2899999999999991</v>
      </c>
      <c r="T66" s="88">
        <v>11.91</v>
      </c>
      <c r="U66" s="28">
        <f t="shared" si="11"/>
        <v>77.39</v>
      </c>
      <c r="V66" s="81">
        <v>13.466666666666665</v>
      </c>
      <c r="W66" s="81">
        <v>0</v>
      </c>
      <c r="X66" s="89"/>
      <c r="Y66"/>
    </row>
    <row r="67" spans="1:25" ht="16.5" x14ac:dyDescent="0.3">
      <c r="A67" s="90">
        <v>10</v>
      </c>
      <c r="B67" s="28">
        <v>158930</v>
      </c>
      <c r="C67" s="28">
        <v>0</v>
      </c>
      <c r="D67" s="81">
        <v>6240.18</v>
      </c>
      <c r="E67" s="82">
        <v>130.18</v>
      </c>
      <c r="F67" s="82">
        <v>0</v>
      </c>
      <c r="G67" s="82">
        <v>130</v>
      </c>
      <c r="H67" s="91">
        <f t="shared" si="8"/>
        <v>0.13846153846154372</v>
      </c>
      <c r="I67" s="85"/>
      <c r="J67" s="85"/>
      <c r="K67" s="86">
        <f t="shared" si="9"/>
        <v>11712.788508219388</v>
      </c>
      <c r="L67" s="87" t="str">
        <f t="shared" si="10"/>
        <v/>
      </c>
      <c r="M67" s="88">
        <v>9.7799999999999994</v>
      </c>
      <c r="N67" s="88">
        <v>9.1300000000000008</v>
      </c>
      <c r="O67" s="88">
        <v>8.76</v>
      </c>
      <c r="P67" s="88">
        <v>9.3800000000000008</v>
      </c>
      <c r="Q67" s="88">
        <v>9.82</v>
      </c>
      <c r="R67" s="88">
        <v>9.0399999999999991</v>
      </c>
      <c r="S67" s="88">
        <v>9.26</v>
      </c>
      <c r="T67" s="88">
        <v>11.89</v>
      </c>
      <c r="U67" s="28">
        <f t="shared" si="11"/>
        <v>77.06</v>
      </c>
      <c r="V67" s="81">
        <v>13.466666666666665</v>
      </c>
      <c r="W67" s="81">
        <v>0</v>
      </c>
      <c r="X67" s="89"/>
      <c r="Y67"/>
    </row>
    <row r="68" spans="1:25" ht="16.5" x14ac:dyDescent="0.3">
      <c r="A68" s="90">
        <v>11</v>
      </c>
      <c r="B68" s="28">
        <v>159270</v>
      </c>
      <c r="C68" s="28">
        <v>0</v>
      </c>
      <c r="D68" s="81">
        <v>3985.02</v>
      </c>
      <c r="E68" s="82">
        <v>130.25</v>
      </c>
      <c r="F68" s="82">
        <v>0</v>
      </c>
      <c r="G68" s="82">
        <v>130</v>
      </c>
      <c r="H68" s="91">
        <f t="shared" si="8"/>
        <v>0.19230769230769232</v>
      </c>
      <c r="I68" s="85"/>
      <c r="J68" s="85"/>
      <c r="K68" s="86">
        <f t="shared" si="9"/>
        <v>11749.029650671786</v>
      </c>
      <c r="L68" s="87" t="str">
        <f t="shared" si="10"/>
        <v/>
      </c>
      <c r="M68" s="88">
        <v>9.8000000000000007</v>
      </c>
      <c r="N68" s="88">
        <v>9.14</v>
      </c>
      <c r="O68" s="88">
        <v>8.81</v>
      </c>
      <c r="P68" s="92">
        <v>9.3699999999999992</v>
      </c>
      <c r="Q68" s="88">
        <v>9.8000000000000007</v>
      </c>
      <c r="R68" s="88">
        <v>9.1199999999999992</v>
      </c>
      <c r="S68" s="88">
        <v>9.34</v>
      </c>
      <c r="T68" s="88">
        <v>11.96</v>
      </c>
      <c r="U68" s="28">
        <f t="shared" si="11"/>
        <v>77.34</v>
      </c>
      <c r="V68" s="81">
        <v>13.466666666666665</v>
      </c>
      <c r="W68" s="81">
        <v>0</v>
      </c>
      <c r="X68" s="89"/>
      <c r="Y68"/>
    </row>
    <row r="69" spans="1:25" ht="16.5" x14ac:dyDescent="0.3">
      <c r="A69" s="90">
        <v>12</v>
      </c>
      <c r="B69" s="28">
        <v>159110</v>
      </c>
      <c r="C69" s="28">
        <v>0.05</v>
      </c>
      <c r="D69" s="81">
        <v>2790.91</v>
      </c>
      <c r="E69" s="82">
        <v>129.88</v>
      </c>
      <c r="F69" s="82">
        <v>0</v>
      </c>
      <c r="G69" s="82">
        <v>130</v>
      </c>
      <c r="H69" s="91">
        <f t="shared" si="8"/>
        <v>-9.230769230769581E-2</v>
      </c>
      <c r="I69" s="85"/>
      <c r="J69" s="85"/>
      <c r="K69" s="86">
        <f t="shared" si="9"/>
        <v>11759.64807514629</v>
      </c>
      <c r="L69" s="87" t="str">
        <f t="shared" si="10"/>
        <v/>
      </c>
      <c r="M69" s="88">
        <v>9.81</v>
      </c>
      <c r="N69" s="88">
        <v>9.1199999999999992</v>
      </c>
      <c r="O69" s="88">
        <v>8.76</v>
      </c>
      <c r="P69" s="92">
        <v>9.34</v>
      </c>
      <c r="Q69" s="88">
        <v>9.85</v>
      </c>
      <c r="R69" s="88">
        <v>9.1199999999999992</v>
      </c>
      <c r="S69" s="88">
        <v>9.26</v>
      </c>
      <c r="T69" s="88">
        <v>11.93</v>
      </c>
      <c r="U69" s="28">
        <f t="shared" si="11"/>
        <v>77.19</v>
      </c>
      <c r="V69" s="81">
        <v>13.466666666666665</v>
      </c>
      <c r="W69" s="81">
        <v>0</v>
      </c>
      <c r="X69" s="89"/>
      <c r="Y69"/>
    </row>
    <row r="70" spans="1:25" ht="16.5" x14ac:dyDescent="0.3">
      <c r="A70" s="90">
        <v>13</v>
      </c>
      <c r="B70" s="28">
        <v>159180</v>
      </c>
      <c r="C70" s="28">
        <v>0</v>
      </c>
      <c r="D70" s="81">
        <v>3576.96</v>
      </c>
      <c r="E70" s="82">
        <v>129.93</v>
      </c>
      <c r="F70" s="82">
        <v>0</v>
      </c>
      <c r="G70" s="82">
        <v>130</v>
      </c>
      <c r="H70" s="91">
        <f t="shared" si="8"/>
        <v>-5.3846153846148596E-2</v>
      </c>
      <c r="I70" s="85"/>
      <c r="J70" s="85"/>
      <c r="K70" s="86">
        <f t="shared" si="9"/>
        <v>11753.599815285153</v>
      </c>
      <c r="L70" s="87" t="str">
        <f t="shared" si="10"/>
        <v/>
      </c>
      <c r="M70" s="88">
        <v>10.16</v>
      </c>
      <c r="N70" s="88">
        <v>9.0500000000000007</v>
      </c>
      <c r="O70" s="88">
        <v>8.42</v>
      </c>
      <c r="P70" s="92">
        <v>9.42</v>
      </c>
      <c r="Q70" s="88">
        <v>9.83</v>
      </c>
      <c r="R70" s="88">
        <v>9.1</v>
      </c>
      <c r="S70" s="88">
        <v>9.2799999999999994</v>
      </c>
      <c r="T70" s="88">
        <v>11.92</v>
      </c>
      <c r="U70" s="28">
        <f t="shared" si="11"/>
        <v>77.180000000000007</v>
      </c>
      <c r="V70" s="81">
        <v>13.466666666666665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159300</v>
      </c>
      <c r="C71" s="28">
        <v>984.11</v>
      </c>
      <c r="D71" s="81">
        <v>2956.54</v>
      </c>
      <c r="E71" s="82">
        <v>130.19</v>
      </c>
      <c r="F71" s="82">
        <v>0</v>
      </c>
      <c r="G71" s="82">
        <v>130</v>
      </c>
      <c r="H71" s="91">
        <f t="shared" si="8"/>
        <v>0.14615384615384441</v>
      </c>
      <c r="I71" s="85"/>
      <c r="J71" s="85"/>
      <c r="K71" s="86">
        <f t="shared" si="9"/>
        <v>11800.03957293187</v>
      </c>
      <c r="L71" s="87" t="str">
        <f t="shared" si="10"/>
        <v/>
      </c>
      <c r="M71" s="88">
        <v>10.06</v>
      </c>
      <c r="N71" s="88">
        <v>8.92</v>
      </c>
      <c r="O71" s="88">
        <v>7.7</v>
      </c>
      <c r="P71" s="92">
        <v>10.64</v>
      </c>
      <c r="Q71" s="88">
        <v>9.91</v>
      </c>
      <c r="R71" s="88">
        <v>9.08</v>
      </c>
      <c r="S71" s="88">
        <v>9.35</v>
      </c>
      <c r="T71" s="88">
        <v>11.98</v>
      </c>
      <c r="U71" s="28">
        <f t="shared" si="11"/>
        <v>77.64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159420</v>
      </c>
      <c r="C72" s="28">
        <v>0</v>
      </c>
      <c r="D72" s="81">
        <v>7833.13</v>
      </c>
      <c r="E72" s="82">
        <v>130.76</v>
      </c>
      <c r="F72" s="82">
        <v>0</v>
      </c>
      <c r="G72" s="82">
        <v>130</v>
      </c>
      <c r="H72" s="91">
        <f t="shared" si="8"/>
        <v>0.58461538461537765</v>
      </c>
      <c r="I72" s="85"/>
      <c r="J72" s="85"/>
      <c r="K72" s="86">
        <f t="shared" si="9"/>
        <v>11697.152340165188</v>
      </c>
      <c r="L72" s="87" t="str">
        <f t="shared" si="10"/>
        <v/>
      </c>
      <c r="M72" s="88">
        <v>9.9499999999999993</v>
      </c>
      <c r="N72" s="88">
        <v>8.7799999999999994</v>
      </c>
      <c r="O72" s="88">
        <v>7.04</v>
      </c>
      <c r="P72" s="92">
        <v>11.14</v>
      </c>
      <c r="Q72" s="88">
        <v>9.91</v>
      </c>
      <c r="R72" s="88">
        <v>9.1</v>
      </c>
      <c r="S72" s="88">
        <v>9.3800000000000008</v>
      </c>
      <c r="T72" s="88">
        <v>12</v>
      </c>
      <c r="U72" s="28">
        <f t="shared" si="11"/>
        <v>77.3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157280</v>
      </c>
      <c r="C73" s="28">
        <v>0</v>
      </c>
      <c r="D73" s="81">
        <v>8880.61</v>
      </c>
      <c r="E73" s="82">
        <v>128.79</v>
      </c>
      <c r="F73" s="82">
        <v>0</v>
      </c>
      <c r="G73" s="82">
        <v>130</v>
      </c>
      <c r="H73" s="91">
        <f t="shared" si="8"/>
        <v>-0.9307692307692369</v>
      </c>
      <c r="I73" s="85"/>
      <c r="J73" s="85"/>
      <c r="K73" s="86">
        <f t="shared" si="9"/>
        <v>11762.383787561146</v>
      </c>
      <c r="L73" s="87" t="str">
        <f t="shared" si="10"/>
        <v/>
      </c>
      <c r="M73" s="88">
        <v>9.7799999999999994</v>
      </c>
      <c r="N73" s="88">
        <v>8.5399999999999991</v>
      </c>
      <c r="O73" s="88">
        <v>6.76</v>
      </c>
      <c r="P73" s="88">
        <v>10.92</v>
      </c>
      <c r="Q73" s="88">
        <v>10.02</v>
      </c>
      <c r="R73" s="88">
        <v>9.07</v>
      </c>
      <c r="S73" s="88">
        <v>9.41</v>
      </c>
      <c r="T73" s="88">
        <v>12.06</v>
      </c>
      <c r="U73" s="28">
        <f t="shared" si="11"/>
        <v>76.56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157250</v>
      </c>
      <c r="C74" s="28">
        <v>0</v>
      </c>
      <c r="D74" s="81">
        <v>7192.08</v>
      </c>
      <c r="E74" s="82">
        <v>128.19</v>
      </c>
      <c r="F74" s="82">
        <v>0</v>
      </c>
      <c r="G74" s="82">
        <v>130</v>
      </c>
      <c r="H74" s="91">
        <f t="shared" si="8"/>
        <v>-1.392307692307694</v>
      </c>
      <c r="I74" s="85"/>
      <c r="J74" s="85"/>
      <c r="K74" s="86">
        <f t="shared" si="9"/>
        <v>11834.41731804353</v>
      </c>
      <c r="L74" s="87" t="str">
        <f t="shared" si="10"/>
        <v/>
      </c>
      <c r="M74" s="88">
        <v>9.7799999999999994</v>
      </c>
      <c r="N74" s="88">
        <v>8.5500000000000007</v>
      </c>
      <c r="O74" s="88">
        <v>6.79</v>
      </c>
      <c r="P74" s="88">
        <v>10.95</v>
      </c>
      <c r="Q74" s="88">
        <v>9.9600000000000009</v>
      </c>
      <c r="R74" s="88">
        <v>9.11</v>
      </c>
      <c r="S74" s="88">
        <v>9.41</v>
      </c>
      <c r="T74" s="88">
        <v>12.12</v>
      </c>
      <c r="U74" s="28">
        <f t="shared" si="11"/>
        <v>76.67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157300</v>
      </c>
      <c r="C75" s="28">
        <v>0.03</v>
      </c>
      <c r="D75" s="81">
        <v>2533.89</v>
      </c>
      <c r="E75" s="82">
        <v>128.07</v>
      </c>
      <c r="F75" s="82">
        <v>0</v>
      </c>
      <c r="G75" s="82">
        <v>180</v>
      </c>
      <c r="H75" s="91">
        <f t="shared" si="8"/>
        <v>-28.850000000000005</v>
      </c>
      <c r="I75" s="85"/>
      <c r="J75" s="85" t="s">
        <v>73</v>
      </c>
      <c r="K75" s="86">
        <f t="shared" si="9"/>
        <v>11930.480955727337</v>
      </c>
      <c r="L75" s="87">
        <f t="shared" si="10"/>
        <v>-51.930000000000007</v>
      </c>
      <c r="M75" s="88">
        <v>10.54</v>
      </c>
      <c r="N75" s="88">
        <v>8.49</v>
      </c>
      <c r="O75" s="88">
        <v>6.65</v>
      </c>
      <c r="P75" s="88">
        <v>10.82</v>
      </c>
      <c r="Q75" s="88">
        <v>9.8800000000000008</v>
      </c>
      <c r="R75" s="88">
        <v>9.09</v>
      </c>
      <c r="S75" s="88">
        <v>9.33</v>
      </c>
      <c r="T75" s="88">
        <v>12.42</v>
      </c>
      <c r="U75" s="28">
        <f t="shared" si="11"/>
        <v>77.22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157040</v>
      </c>
      <c r="C76" s="28">
        <v>12.23</v>
      </c>
      <c r="D76" s="81">
        <v>1535.19</v>
      </c>
      <c r="E76" s="82">
        <v>127.88</v>
      </c>
      <c r="F76" s="82">
        <v>0</v>
      </c>
      <c r="G76" s="82">
        <v>233</v>
      </c>
      <c r="H76" s="91">
        <f t="shared" si="8"/>
        <v>-45.115879828326179</v>
      </c>
      <c r="I76" s="85"/>
      <c r="J76" s="85" t="s">
        <v>73</v>
      </c>
      <c r="K76" s="86">
        <f t="shared" si="9"/>
        <v>11904.882639974978</v>
      </c>
      <c r="L76" s="87">
        <f t="shared" si="10"/>
        <v>-105.12</v>
      </c>
      <c r="M76" s="88">
        <v>10.58</v>
      </c>
      <c r="N76" s="88">
        <v>8.39</v>
      </c>
      <c r="O76" s="88">
        <v>6.57</v>
      </c>
      <c r="P76" s="88">
        <v>10.75</v>
      </c>
      <c r="Q76" s="88">
        <v>9.84</v>
      </c>
      <c r="R76" s="88">
        <v>9.17</v>
      </c>
      <c r="S76" s="88">
        <v>9.2899999999999991</v>
      </c>
      <c r="T76" s="88">
        <v>12.35</v>
      </c>
      <c r="U76" s="28">
        <f t="shared" si="11"/>
        <v>76.94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157070</v>
      </c>
      <c r="C77" s="28">
        <v>0.34</v>
      </c>
      <c r="D77" s="81">
        <v>2239.0500000000002</v>
      </c>
      <c r="E77" s="82">
        <v>127.39</v>
      </c>
      <c r="F77" s="82">
        <v>0</v>
      </c>
      <c r="G77" s="82">
        <v>233</v>
      </c>
      <c r="H77" s="91">
        <f t="shared" si="8"/>
        <v>-45.326180257510728</v>
      </c>
      <c r="I77" s="85"/>
      <c r="J77" s="85" t="s">
        <v>73</v>
      </c>
      <c r="K77" s="86">
        <f t="shared" si="9"/>
        <v>11894.757390690005</v>
      </c>
      <c r="L77" s="87">
        <f t="shared" si="10"/>
        <v>-105.61</v>
      </c>
      <c r="M77" s="88">
        <v>10.54</v>
      </c>
      <c r="N77" s="88">
        <v>8.4</v>
      </c>
      <c r="O77" s="88">
        <v>6.58</v>
      </c>
      <c r="P77" s="88">
        <v>10.62</v>
      </c>
      <c r="Q77" s="88">
        <v>9.7899999999999991</v>
      </c>
      <c r="R77" s="88">
        <v>9.1</v>
      </c>
      <c r="S77" s="88">
        <v>9.23</v>
      </c>
      <c r="T77" s="88">
        <v>12.32</v>
      </c>
      <c r="U77" s="28">
        <f t="shared" si="11"/>
        <v>76.579999999999984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156650</v>
      </c>
      <c r="C78" s="28">
        <v>0</v>
      </c>
      <c r="D78" s="81">
        <v>3879.32</v>
      </c>
      <c r="E78" s="82">
        <v>126.82</v>
      </c>
      <c r="F78" s="82">
        <v>0</v>
      </c>
      <c r="G78" s="82">
        <v>183</v>
      </c>
      <c r="H78" s="91">
        <f t="shared" si="8"/>
        <v>-30.699453551912573</v>
      </c>
      <c r="I78" s="85"/>
      <c r="J78" s="85" t="s">
        <v>73</v>
      </c>
      <c r="K78" s="86">
        <f t="shared" si="9"/>
        <v>11999.706576249804</v>
      </c>
      <c r="L78" s="87">
        <f t="shared" si="10"/>
        <v>-56.180000000000007</v>
      </c>
      <c r="M78" s="88">
        <v>11.42</v>
      </c>
      <c r="N78" s="88">
        <v>8.4499999999999993</v>
      </c>
      <c r="O78" s="88">
        <v>6.62</v>
      </c>
      <c r="P78" s="88">
        <v>9.83</v>
      </c>
      <c r="Q78" s="88">
        <v>9.7799999999999994</v>
      </c>
      <c r="R78" s="88">
        <v>9.09</v>
      </c>
      <c r="S78" s="88">
        <v>8.93</v>
      </c>
      <c r="T78" s="88">
        <v>12.79</v>
      </c>
      <c r="U78" s="28">
        <f t="shared" si="11"/>
        <v>76.91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156100</v>
      </c>
      <c r="C79" s="28">
        <v>227.61</v>
      </c>
      <c r="D79" s="81">
        <v>281.69</v>
      </c>
      <c r="E79" s="82">
        <v>126.07</v>
      </c>
      <c r="F79" s="82">
        <v>0</v>
      </c>
      <c r="G79" s="82">
        <v>216</v>
      </c>
      <c r="H79" s="91">
        <f t="shared" si="8"/>
        <v>-41.63425925925926</v>
      </c>
      <c r="I79" s="85"/>
      <c r="J79" s="85" t="s">
        <v>73</v>
      </c>
      <c r="K79" s="86">
        <f t="shared" si="9"/>
        <v>12185.667898786389</v>
      </c>
      <c r="L79" s="87">
        <f t="shared" si="10"/>
        <v>-89.93</v>
      </c>
      <c r="M79" s="88">
        <v>12.61</v>
      </c>
      <c r="N79" s="88">
        <v>8.42</v>
      </c>
      <c r="O79" s="88">
        <v>6.66</v>
      </c>
      <c r="P79" s="88">
        <v>8.68</v>
      </c>
      <c r="Q79" s="88">
        <v>9.9700000000000006</v>
      </c>
      <c r="R79" s="88">
        <v>9.11</v>
      </c>
      <c r="S79" s="88">
        <v>8.4600000000000009</v>
      </c>
      <c r="T79" s="88">
        <v>13.73</v>
      </c>
      <c r="U79" s="28">
        <f t="shared" si="11"/>
        <v>77.64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155830</v>
      </c>
      <c r="C80" s="28">
        <v>1000.71</v>
      </c>
      <c r="D80" s="81">
        <v>37.31</v>
      </c>
      <c r="E80" s="82">
        <v>126.34</v>
      </c>
      <c r="F80" s="82">
        <v>0</v>
      </c>
      <c r="G80" s="82">
        <v>227</v>
      </c>
      <c r="H80" s="91">
        <f t="shared" si="8"/>
        <v>-44.343612334801762</v>
      </c>
      <c r="I80" s="85"/>
      <c r="J80" s="85" t="s">
        <v>73</v>
      </c>
      <c r="K80" s="86">
        <f t="shared" si="9"/>
        <v>12028.069020104484</v>
      </c>
      <c r="L80" s="87">
        <f t="shared" si="10"/>
        <v>-100.66</v>
      </c>
      <c r="M80" s="88">
        <v>12.4</v>
      </c>
      <c r="N80" s="88">
        <v>8.26</v>
      </c>
      <c r="O80" s="88">
        <v>6.43</v>
      </c>
      <c r="P80" s="88">
        <v>8.51</v>
      </c>
      <c r="Q80" s="88">
        <v>10.02</v>
      </c>
      <c r="R80" s="88">
        <v>9.1</v>
      </c>
      <c r="S80" s="88">
        <v>8.41</v>
      </c>
      <c r="T80" s="88">
        <v>13.67</v>
      </c>
      <c r="U80" s="28">
        <f t="shared" si="11"/>
        <v>76.800000000000011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154780</v>
      </c>
      <c r="C81" s="28">
        <v>170.48</v>
      </c>
      <c r="D81" s="28">
        <v>1738.92</v>
      </c>
      <c r="E81" s="96">
        <v>125.39</v>
      </c>
      <c r="F81" s="97">
        <v>0</v>
      </c>
      <c r="G81" s="82">
        <v>250</v>
      </c>
      <c r="H81" s="98">
        <f t="shared" si="8"/>
        <v>-49.844000000000001</v>
      </c>
      <c r="I81" s="85"/>
      <c r="J81" s="85" t="s">
        <v>73</v>
      </c>
      <c r="K81" s="99">
        <f t="shared" si="9"/>
        <v>12152.336454262699</v>
      </c>
      <c r="L81" s="87">
        <f t="shared" si="10"/>
        <v>-124.61</v>
      </c>
      <c r="M81" s="92">
        <v>12.3</v>
      </c>
      <c r="N81" s="92">
        <v>8.18</v>
      </c>
      <c r="O81" s="92">
        <v>6.3</v>
      </c>
      <c r="P81" s="92">
        <v>8.44</v>
      </c>
      <c r="Q81" s="92">
        <v>10.16</v>
      </c>
      <c r="R81" s="92">
        <v>9.1</v>
      </c>
      <c r="S81" s="92">
        <v>8.64</v>
      </c>
      <c r="T81" s="92">
        <v>13.89</v>
      </c>
      <c r="U81" s="28">
        <f t="shared" si="11"/>
        <v>77.009999999999991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2">SUM(B58:B81)</f>
        <v>3794040</v>
      </c>
      <c r="C82" s="35">
        <f t="shared" si="12"/>
        <v>52108.920000000006</v>
      </c>
      <c r="D82" s="35">
        <f t="shared" si="12"/>
        <v>60101.240000000013</v>
      </c>
      <c r="E82" s="35">
        <f t="shared" si="12"/>
        <v>3093.7900000000009</v>
      </c>
      <c r="F82" s="101">
        <f t="shared" si="12"/>
        <v>0</v>
      </c>
      <c r="G82" s="35">
        <f t="shared" si="12"/>
        <v>3988</v>
      </c>
      <c r="H82" s="102"/>
      <c r="I82" s="103"/>
      <c r="J82" s="104"/>
      <c r="K82" s="105">
        <f>IFERROR(AVERAGE(K58:K81),"")</f>
        <v>11804.063938365551</v>
      </c>
      <c r="L82" s="40">
        <f t="shared" ref="L82:U82" si="13">SUM(L58:L81)</f>
        <v>-894.33000000000015</v>
      </c>
      <c r="M82" s="40">
        <f t="shared" si="13"/>
        <v>246.81999999999996</v>
      </c>
      <c r="N82" s="39">
        <f t="shared" si="13"/>
        <v>211.44</v>
      </c>
      <c r="O82" s="39">
        <f t="shared" si="13"/>
        <v>187.4</v>
      </c>
      <c r="P82" s="39">
        <f t="shared" si="13"/>
        <v>232.37</v>
      </c>
      <c r="Q82" s="39">
        <f t="shared" si="13"/>
        <v>235.97</v>
      </c>
      <c r="R82" s="39">
        <f t="shared" si="13"/>
        <v>218.37</v>
      </c>
      <c r="S82" s="39">
        <f t="shared" si="13"/>
        <v>219.72000000000003</v>
      </c>
      <c r="T82" s="39">
        <f t="shared" si="13"/>
        <v>293.28999999999996</v>
      </c>
      <c r="U82" s="39">
        <f t="shared" si="13"/>
        <v>1845.38</v>
      </c>
      <c r="V82" s="39">
        <f>+SUM(V58:V81)</f>
        <v>80.8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0</v>
      </c>
      <c r="J87" s="41"/>
      <c r="K87" s="62" t="s">
        <v>59</v>
      </c>
      <c r="L87" s="55">
        <v>20649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1</v>
      </c>
      <c r="B88" s="57">
        <v>0</v>
      </c>
      <c r="C88" s="57">
        <v>0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60">
        <v>34775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>
        <f>IFERROR(3412.14/K82,"")</f>
        <v>0.28906485239459501</v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A1:C1"/>
    <mergeCell ref="D1:U2"/>
    <mergeCell ref="V1:X4"/>
    <mergeCell ref="A2:C2"/>
    <mergeCell ref="A3:C3"/>
    <mergeCell ref="D3:U4"/>
    <mergeCell ref="A4:C4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39:A40"/>
    <mergeCell ref="B39:B40"/>
    <mergeCell ref="C39:C40"/>
    <mergeCell ref="D39:D40"/>
    <mergeCell ref="H39:I40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H41:H42"/>
    <mergeCell ref="I41:I42"/>
    <mergeCell ref="K44:L44"/>
    <mergeCell ref="C45:I46"/>
    <mergeCell ref="K45:L45"/>
    <mergeCell ref="K46:L4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A85:A86"/>
    <mergeCell ref="B85:B86"/>
    <mergeCell ref="C85:C86"/>
    <mergeCell ref="D85:D86"/>
    <mergeCell ref="H85:I86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K90:L90"/>
    <mergeCell ref="B91:B92"/>
    <mergeCell ref="C91:I92"/>
    <mergeCell ref="K91:L91"/>
    <mergeCell ref="K92:L9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4D41-5495-40AC-A4DD-6C28FD03FD22}">
  <dimension ref="A1:Z109"/>
  <sheetViews>
    <sheetView zoomScale="90" zoomScaleNormal="90" workbookViewId="0">
      <selection activeCell="M24" sqref="M24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2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77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0</v>
      </c>
      <c r="C12" s="28">
        <v>755.54</v>
      </c>
      <c r="D12" s="28">
        <v>0.24000000000000002</v>
      </c>
      <c r="E12" s="28">
        <v>0</v>
      </c>
      <c r="F12" s="28">
        <v>0</v>
      </c>
      <c r="G12" s="28">
        <f t="shared" ref="G12:G35" si="0">+E12+F12</f>
        <v>0</v>
      </c>
      <c r="H12" s="28">
        <v>1995.3</v>
      </c>
      <c r="I12" s="28">
        <v>1980.74</v>
      </c>
      <c r="J12" s="29">
        <v>0</v>
      </c>
      <c r="K12" s="28">
        <f t="shared" ref="K12:K35" si="1">IF(J12=0,0,100*(G12-J12)/J12)</f>
        <v>0</v>
      </c>
      <c r="L12" s="28"/>
      <c r="M12" s="28"/>
      <c r="N12" s="28" t="str">
        <f t="shared" ref="N12:N35" si="2">IFERROR(V12*1000*2.2*$K$46/G12/1000,"")</f>
        <v/>
      </c>
      <c r="O12" s="28" t="str">
        <f t="shared" ref="O12:O35" si="3">IF(OR(K12&gt;5,K12&lt;-5),G12-J12,"")</f>
        <v/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f t="shared" ref="V12:V35" si="4">+SUM(P12:U12)</f>
        <v>0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0</v>
      </c>
      <c r="C13" s="28">
        <v>814.87</v>
      </c>
      <c r="D13" s="28">
        <v>0</v>
      </c>
      <c r="E13" s="28">
        <v>0</v>
      </c>
      <c r="F13" s="28">
        <v>0</v>
      </c>
      <c r="G13" s="28">
        <f t="shared" si="0"/>
        <v>0</v>
      </c>
      <c r="H13" s="28">
        <v>2003.78</v>
      </c>
      <c r="I13" s="28">
        <v>1988.1</v>
      </c>
      <c r="J13" s="29">
        <v>0</v>
      </c>
      <c r="K13" s="28">
        <f t="shared" si="1"/>
        <v>0</v>
      </c>
      <c r="L13" s="28"/>
      <c r="M13" s="28"/>
      <c r="N13" s="28" t="str">
        <f t="shared" si="2"/>
        <v/>
      </c>
      <c r="O13" s="28" t="str">
        <f t="shared" si="3"/>
        <v/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f t="shared" si="4"/>
        <v>0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0</v>
      </c>
      <c r="C14" s="28">
        <v>821.8</v>
      </c>
      <c r="D14" s="28">
        <v>0</v>
      </c>
      <c r="E14" s="28">
        <v>0</v>
      </c>
      <c r="F14" s="28">
        <v>0</v>
      </c>
      <c r="G14" s="28">
        <f t="shared" si="0"/>
        <v>0</v>
      </c>
      <c r="H14" s="28">
        <v>1995.75</v>
      </c>
      <c r="I14" s="28">
        <v>1977.51</v>
      </c>
      <c r="J14" s="29">
        <v>0</v>
      </c>
      <c r="K14" s="28">
        <f t="shared" si="1"/>
        <v>0</v>
      </c>
      <c r="L14" s="28"/>
      <c r="M14" s="28"/>
      <c r="N14" s="28" t="str">
        <f t="shared" si="2"/>
        <v/>
      </c>
      <c r="O14" s="28" t="str">
        <f t="shared" si="3"/>
        <v/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f t="shared" si="4"/>
        <v>0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0</v>
      </c>
      <c r="C15" s="28">
        <v>1001.22</v>
      </c>
      <c r="D15" s="28">
        <v>0.05</v>
      </c>
      <c r="E15" s="28">
        <v>0</v>
      </c>
      <c r="F15" s="28">
        <v>0</v>
      </c>
      <c r="G15" s="28">
        <f t="shared" si="0"/>
        <v>0</v>
      </c>
      <c r="H15" s="28">
        <v>1945.82</v>
      </c>
      <c r="I15" s="28">
        <v>1927.58</v>
      </c>
      <c r="J15" s="29">
        <v>0</v>
      </c>
      <c r="K15" s="28">
        <f t="shared" si="1"/>
        <v>0</v>
      </c>
      <c r="L15" s="28"/>
      <c r="M15" s="28"/>
      <c r="N15" s="28" t="str">
        <f t="shared" si="2"/>
        <v/>
      </c>
      <c r="O15" s="28" t="str">
        <f t="shared" si="3"/>
        <v/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f t="shared" si="4"/>
        <v>0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0</v>
      </c>
      <c r="C16" s="28">
        <v>808.15000000000009</v>
      </c>
      <c r="D16" s="28">
        <v>4.57</v>
      </c>
      <c r="E16" s="28">
        <v>0</v>
      </c>
      <c r="F16" s="28">
        <v>0</v>
      </c>
      <c r="G16" s="28">
        <f t="shared" si="0"/>
        <v>0</v>
      </c>
      <c r="H16" s="28">
        <v>2381.9699999999998</v>
      </c>
      <c r="I16" s="28">
        <v>2363.9299999999998</v>
      </c>
      <c r="J16" s="29">
        <v>0</v>
      </c>
      <c r="K16" s="28">
        <f t="shared" si="1"/>
        <v>0</v>
      </c>
      <c r="L16" s="28"/>
      <c r="M16" s="28"/>
      <c r="N16" s="28" t="str">
        <f t="shared" si="2"/>
        <v/>
      </c>
      <c r="O16" s="28" t="str">
        <f t="shared" si="3"/>
        <v/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f t="shared" si="4"/>
        <v>0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0</v>
      </c>
      <c r="C17" s="28">
        <v>1076.26</v>
      </c>
      <c r="D17" s="28">
        <v>0</v>
      </c>
      <c r="E17" s="28">
        <v>0</v>
      </c>
      <c r="F17" s="28">
        <v>0</v>
      </c>
      <c r="G17" s="28">
        <f t="shared" si="0"/>
        <v>0</v>
      </c>
      <c r="H17" s="28">
        <v>2467.7800000000002</v>
      </c>
      <c r="I17" s="28">
        <v>2450.4</v>
      </c>
      <c r="J17" s="29">
        <v>0</v>
      </c>
      <c r="K17" s="28">
        <f t="shared" si="1"/>
        <v>0</v>
      </c>
      <c r="L17" s="28"/>
      <c r="M17" s="28"/>
      <c r="N17" s="28" t="str">
        <f t="shared" si="2"/>
        <v/>
      </c>
      <c r="O17" s="28" t="str">
        <f t="shared" si="3"/>
        <v/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f t="shared" si="4"/>
        <v>0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0</v>
      </c>
      <c r="C18" s="28">
        <v>1180.4099999999999</v>
      </c>
      <c r="D18" s="28">
        <v>0</v>
      </c>
      <c r="E18" s="28">
        <v>0</v>
      </c>
      <c r="F18" s="28">
        <v>0</v>
      </c>
      <c r="G18" s="28">
        <f t="shared" si="0"/>
        <v>0</v>
      </c>
      <c r="H18" s="28">
        <v>2388.7199999999998</v>
      </c>
      <c r="I18" s="28">
        <v>2357.7800000000002</v>
      </c>
      <c r="J18" s="29">
        <v>0</v>
      </c>
      <c r="K18" s="28">
        <f t="shared" si="1"/>
        <v>0</v>
      </c>
      <c r="L18" s="28"/>
      <c r="M18" s="28"/>
      <c r="N18" s="28" t="str">
        <f t="shared" si="2"/>
        <v/>
      </c>
      <c r="O18" s="28" t="str">
        <f t="shared" si="3"/>
        <v/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f t="shared" si="4"/>
        <v>0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0</v>
      </c>
      <c r="C19" s="28">
        <v>433.22</v>
      </c>
      <c r="D19" s="28">
        <v>1163.99</v>
      </c>
      <c r="E19" s="28">
        <v>0</v>
      </c>
      <c r="F19" s="28">
        <v>0</v>
      </c>
      <c r="G19" s="28">
        <f t="shared" si="0"/>
        <v>0</v>
      </c>
      <c r="H19" s="28">
        <v>3489.72</v>
      </c>
      <c r="I19" s="28">
        <v>3446.37</v>
      </c>
      <c r="J19" s="29">
        <v>0</v>
      </c>
      <c r="K19" s="28">
        <f t="shared" si="1"/>
        <v>0</v>
      </c>
      <c r="L19" s="28"/>
      <c r="M19" s="28"/>
      <c r="N19" s="28" t="str">
        <f t="shared" si="2"/>
        <v/>
      </c>
      <c r="O19" s="28" t="str">
        <f t="shared" si="3"/>
        <v/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f t="shared" si="4"/>
        <v>0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0</v>
      </c>
      <c r="C20" s="28">
        <v>602.45000000000005</v>
      </c>
      <c r="D20" s="28">
        <v>1060.26</v>
      </c>
      <c r="E20" s="28">
        <v>0</v>
      </c>
      <c r="F20" s="28">
        <v>0</v>
      </c>
      <c r="G20" s="28">
        <f t="shared" si="0"/>
        <v>0</v>
      </c>
      <c r="H20" s="28">
        <v>3372.06</v>
      </c>
      <c r="I20" s="28">
        <v>3330.24</v>
      </c>
      <c r="J20" s="29">
        <v>0</v>
      </c>
      <c r="K20" s="28">
        <f t="shared" si="1"/>
        <v>0</v>
      </c>
      <c r="L20" s="28"/>
      <c r="M20" s="28"/>
      <c r="N20" s="28" t="str">
        <f t="shared" si="2"/>
        <v/>
      </c>
      <c r="O20" s="28" t="str">
        <f t="shared" si="3"/>
        <v/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f t="shared" si="4"/>
        <v>0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0</v>
      </c>
      <c r="C21" s="28">
        <v>0</v>
      </c>
      <c r="D21" s="28">
        <v>1923.7399999999998</v>
      </c>
      <c r="E21" s="28">
        <v>0</v>
      </c>
      <c r="F21" s="28">
        <v>0</v>
      </c>
      <c r="G21" s="28">
        <f t="shared" si="0"/>
        <v>0</v>
      </c>
      <c r="H21" s="28">
        <v>4674.8999999999996</v>
      </c>
      <c r="I21" s="28">
        <v>4651.03</v>
      </c>
      <c r="J21" s="29">
        <v>0</v>
      </c>
      <c r="K21" s="28">
        <f t="shared" si="1"/>
        <v>0</v>
      </c>
      <c r="L21" s="28"/>
      <c r="M21" s="28"/>
      <c r="N21" s="28" t="str">
        <f t="shared" si="2"/>
        <v/>
      </c>
      <c r="O21" s="28" t="str">
        <f t="shared" si="3"/>
        <v/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f t="shared" si="4"/>
        <v>0</v>
      </c>
      <c r="W21" s="28">
        <v>0</v>
      </c>
      <c r="X21" s="28">
        <v>887.3374943982908</v>
      </c>
    </row>
    <row r="22" spans="1:26" ht="16.5" x14ac:dyDescent="0.3">
      <c r="A22" s="30">
        <v>11</v>
      </c>
      <c r="B22" s="28">
        <v>0</v>
      </c>
      <c r="C22" s="28">
        <v>0</v>
      </c>
      <c r="D22" s="28">
        <v>2005.13</v>
      </c>
      <c r="E22" s="28">
        <v>0</v>
      </c>
      <c r="F22" s="28">
        <v>0</v>
      </c>
      <c r="G22" s="28">
        <f t="shared" si="0"/>
        <v>0</v>
      </c>
      <c r="H22" s="28">
        <v>4695.2700000000004</v>
      </c>
      <c r="I22" s="28">
        <v>4673.57</v>
      </c>
      <c r="J22" s="29">
        <v>0</v>
      </c>
      <c r="K22" s="28">
        <f t="shared" si="1"/>
        <v>0</v>
      </c>
      <c r="L22" s="28"/>
      <c r="M22" s="28"/>
      <c r="N22" s="28" t="str">
        <f t="shared" si="2"/>
        <v/>
      </c>
      <c r="O22" s="28" t="str">
        <f t="shared" si="3"/>
        <v/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f t="shared" si="4"/>
        <v>0</v>
      </c>
      <c r="W22" s="28">
        <v>0</v>
      </c>
      <c r="X22" s="28">
        <v>1252.7117567975872</v>
      </c>
    </row>
    <row r="23" spans="1:26" ht="16.5" x14ac:dyDescent="0.3">
      <c r="A23" s="30">
        <v>12</v>
      </c>
      <c r="B23" s="28">
        <v>0</v>
      </c>
      <c r="C23" s="28">
        <v>0</v>
      </c>
      <c r="D23" s="28">
        <v>2722.2200000000003</v>
      </c>
      <c r="E23" s="28">
        <v>0</v>
      </c>
      <c r="F23" s="28">
        <v>0</v>
      </c>
      <c r="G23" s="28">
        <f t="shared" si="0"/>
        <v>0</v>
      </c>
      <c r="H23" s="28">
        <v>4940.8500000000004</v>
      </c>
      <c r="I23" s="28">
        <v>4918.0600000000004</v>
      </c>
      <c r="J23" s="29">
        <v>0</v>
      </c>
      <c r="K23" s="28">
        <f t="shared" si="1"/>
        <v>0</v>
      </c>
      <c r="L23" s="28"/>
      <c r="M23" s="28"/>
      <c r="N23" s="28" t="str">
        <f t="shared" si="2"/>
        <v/>
      </c>
      <c r="O23" s="28" t="str">
        <f t="shared" si="3"/>
        <v/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f t="shared" si="4"/>
        <v>0</v>
      </c>
      <c r="W23" s="28">
        <v>0</v>
      </c>
      <c r="X23" s="28">
        <v>1722.4786655966823</v>
      </c>
    </row>
    <row r="24" spans="1:26" ht="16.5" x14ac:dyDescent="0.3">
      <c r="A24" s="30">
        <v>13</v>
      </c>
      <c r="B24" s="28">
        <v>0</v>
      </c>
      <c r="C24" s="28">
        <v>0</v>
      </c>
      <c r="D24" s="28">
        <v>3231.37</v>
      </c>
      <c r="E24" s="28">
        <v>0</v>
      </c>
      <c r="F24" s="28">
        <v>0</v>
      </c>
      <c r="G24" s="28">
        <f t="shared" si="0"/>
        <v>0</v>
      </c>
      <c r="H24" s="28">
        <v>5138.5600000000004</v>
      </c>
      <c r="I24" s="28">
        <v>5118.92</v>
      </c>
      <c r="J24" s="29">
        <v>20</v>
      </c>
      <c r="K24" s="28">
        <f t="shared" si="1"/>
        <v>-100</v>
      </c>
      <c r="L24" s="28"/>
      <c r="M24" s="28" t="s">
        <v>80</v>
      </c>
      <c r="N24" s="28" t="str">
        <f t="shared" si="2"/>
        <v/>
      </c>
      <c r="O24" s="28">
        <f t="shared" si="3"/>
        <v>-20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f t="shared" si="4"/>
        <v>0</v>
      </c>
      <c r="W24" s="28">
        <v>0</v>
      </c>
      <c r="X24" s="28">
        <v>2035.6566047960791</v>
      </c>
    </row>
    <row r="25" spans="1:26" ht="16.5" x14ac:dyDescent="0.3">
      <c r="A25" s="30">
        <v>14</v>
      </c>
      <c r="B25" s="28">
        <v>0</v>
      </c>
      <c r="C25" s="28">
        <v>0</v>
      </c>
      <c r="D25" s="28">
        <v>3308.41</v>
      </c>
      <c r="E25" s="28">
        <v>0</v>
      </c>
      <c r="F25" s="28">
        <v>0</v>
      </c>
      <c r="G25" s="28">
        <f t="shared" si="0"/>
        <v>0</v>
      </c>
      <c r="H25" s="28">
        <v>5195.75</v>
      </c>
      <c r="I25" s="28">
        <v>5187.0200000000004</v>
      </c>
      <c r="J25" s="29">
        <v>40</v>
      </c>
      <c r="K25" s="28">
        <f t="shared" si="1"/>
        <v>-100</v>
      </c>
      <c r="L25" s="28"/>
      <c r="M25" s="28" t="s">
        <v>80</v>
      </c>
      <c r="N25" s="28" t="str">
        <f t="shared" si="2"/>
        <v/>
      </c>
      <c r="O25" s="28">
        <f t="shared" si="3"/>
        <v>-40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f t="shared" si="4"/>
        <v>0</v>
      </c>
      <c r="W25" s="28">
        <v>0</v>
      </c>
      <c r="X25" s="28">
        <v>2066.9743987160186</v>
      </c>
    </row>
    <row r="26" spans="1:26" ht="16.5" x14ac:dyDescent="0.3">
      <c r="A26" s="30">
        <v>15</v>
      </c>
      <c r="B26" s="28">
        <v>0</v>
      </c>
      <c r="C26" s="28">
        <v>0</v>
      </c>
      <c r="D26" s="28">
        <v>3352.1400000000003</v>
      </c>
      <c r="E26" s="28">
        <v>0</v>
      </c>
      <c r="F26" s="28">
        <v>0</v>
      </c>
      <c r="G26" s="28">
        <f t="shared" si="0"/>
        <v>0</v>
      </c>
      <c r="H26" s="28">
        <v>5283.41</v>
      </c>
      <c r="I26" s="28">
        <v>5270.48</v>
      </c>
      <c r="J26" s="29">
        <v>60</v>
      </c>
      <c r="K26" s="28">
        <f t="shared" si="1"/>
        <v>-100</v>
      </c>
      <c r="L26" s="28"/>
      <c r="M26" s="28" t="s">
        <v>80</v>
      </c>
      <c r="N26" s="28" t="str">
        <f t="shared" si="2"/>
        <v/>
      </c>
      <c r="O26" s="28">
        <f t="shared" si="3"/>
        <v>-60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f t="shared" si="4"/>
        <v>0</v>
      </c>
      <c r="W26" s="28">
        <v>0</v>
      </c>
      <c r="X26" s="28">
        <v>2046.095869436059</v>
      </c>
    </row>
    <row r="27" spans="1:26" ht="16.5" x14ac:dyDescent="0.3">
      <c r="A27" s="30">
        <v>16</v>
      </c>
      <c r="B27" s="28">
        <v>0</v>
      </c>
      <c r="C27" s="28">
        <v>0</v>
      </c>
      <c r="D27" s="28">
        <v>3452.34</v>
      </c>
      <c r="E27" s="28">
        <v>0</v>
      </c>
      <c r="F27" s="28">
        <v>0</v>
      </c>
      <c r="G27" s="28">
        <f t="shared" si="0"/>
        <v>0</v>
      </c>
      <c r="H27" s="28">
        <v>5376.49</v>
      </c>
      <c r="I27" s="28">
        <v>5358.86</v>
      </c>
      <c r="J27" s="29">
        <v>90</v>
      </c>
      <c r="K27" s="28">
        <f t="shared" si="1"/>
        <v>-100</v>
      </c>
      <c r="L27" s="28"/>
      <c r="M27" s="28" t="s">
        <v>80</v>
      </c>
      <c r="N27" s="28" t="str">
        <f t="shared" si="2"/>
        <v/>
      </c>
      <c r="O27" s="28">
        <f t="shared" si="3"/>
        <v>-90</v>
      </c>
      <c r="P27" s="28">
        <v>0</v>
      </c>
      <c r="Q27" s="28">
        <v>1.05</v>
      </c>
      <c r="R27" s="28">
        <v>0</v>
      </c>
      <c r="S27" s="28">
        <v>0</v>
      </c>
      <c r="T27" s="28">
        <v>0.89</v>
      </c>
      <c r="U27" s="28">
        <v>0</v>
      </c>
      <c r="V27" s="28">
        <f t="shared" si="4"/>
        <v>1.94</v>
      </c>
      <c r="W27" s="28">
        <v>0</v>
      </c>
      <c r="X27" s="28">
        <v>2014.7780755161193</v>
      </c>
    </row>
    <row r="28" spans="1:26" ht="16.5" x14ac:dyDescent="0.3">
      <c r="A28" s="30">
        <v>17</v>
      </c>
      <c r="B28" s="28">
        <v>0</v>
      </c>
      <c r="C28" s="28">
        <v>0</v>
      </c>
      <c r="D28" s="28">
        <v>4852.2299999999996</v>
      </c>
      <c r="E28" s="28">
        <v>0</v>
      </c>
      <c r="F28" s="28">
        <v>0</v>
      </c>
      <c r="G28" s="28">
        <f t="shared" si="0"/>
        <v>0</v>
      </c>
      <c r="H28" s="28">
        <v>6364.26</v>
      </c>
      <c r="I28" s="28">
        <v>6347.48</v>
      </c>
      <c r="J28" s="29">
        <v>90</v>
      </c>
      <c r="K28" s="28">
        <f t="shared" si="1"/>
        <v>-100</v>
      </c>
      <c r="L28" s="28"/>
      <c r="M28" s="28" t="s">
        <v>80</v>
      </c>
      <c r="N28" s="28" t="str">
        <f t="shared" si="2"/>
        <v/>
      </c>
      <c r="O28" s="28">
        <f t="shared" si="3"/>
        <v>-90</v>
      </c>
      <c r="P28" s="28">
        <v>1.61</v>
      </c>
      <c r="Q28" s="28">
        <v>2.0699999999999998</v>
      </c>
      <c r="R28" s="28">
        <v>1.25</v>
      </c>
      <c r="S28" s="28">
        <v>0</v>
      </c>
      <c r="T28" s="28">
        <v>1.28</v>
      </c>
      <c r="U28" s="28">
        <v>1.38</v>
      </c>
      <c r="V28" s="28">
        <f t="shared" si="4"/>
        <v>7.59</v>
      </c>
      <c r="W28" s="28">
        <v>0</v>
      </c>
      <c r="X28" s="28">
        <v>1148.3191103977883</v>
      </c>
    </row>
    <row r="29" spans="1:26" ht="16.5" x14ac:dyDescent="0.3">
      <c r="A29" s="30">
        <v>18</v>
      </c>
      <c r="B29" s="28">
        <v>3630</v>
      </c>
      <c r="C29" s="28">
        <v>1857.0500000000002</v>
      </c>
      <c r="D29" s="28">
        <v>2700.96</v>
      </c>
      <c r="E29" s="28">
        <v>0.11</v>
      </c>
      <c r="F29" s="28">
        <v>0.11</v>
      </c>
      <c r="G29" s="28">
        <f t="shared" si="0"/>
        <v>0.22</v>
      </c>
      <c r="H29" s="28">
        <v>4788.17</v>
      </c>
      <c r="I29" s="28">
        <v>4764.5600000000004</v>
      </c>
      <c r="J29" s="29">
        <v>115</v>
      </c>
      <c r="K29" s="28">
        <f t="shared" si="1"/>
        <v>-99.80869565217391</v>
      </c>
      <c r="L29" s="28"/>
      <c r="M29" s="28" t="s">
        <v>80</v>
      </c>
      <c r="N29" s="28">
        <f t="shared" si="2"/>
        <v>1589162</v>
      </c>
      <c r="O29" s="28">
        <f t="shared" si="3"/>
        <v>-114.78</v>
      </c>
      <c r="P29" s="28">
        <v>3.19</v>
      </c>
      <c r="Q29" s="28">
        <v>3.09</v>
      </c>
      <c r="R29" s="28">
        <v>3.82</v>
      </c>
      <c r="S29" s="28">
        <v>3.61</v>
      </c>
      <c r="T29" s="28">
        <v>2.68</v>
      </c>
      <c r="U29" s="28">
        <v>2.91</v>
      </c>
      <c r="V29" s="28">
        <f t="shared" si="4"/>
        <v>19.3</v>
      </c>
      <c r="W29" s="28">
        <v>0</v>
      </c>
      <c r="X29" s="28">
        <v>428.00985023917559</v>
      </c>
    </row>
    <row r="30" spans="1:26" s="32" customFormat="1" ht="16.5" x14ac:dyDescent="0.3">
      <c r="A30" s="31">
        <v>19</v>
      </c>
      <c r="B30" s="28">
        <v>27810</v>
      </c>
      <c r="C30" s="28">
        <v>3248.35</v>
      </c>
      <c r="D30" s="28">
        <v>124.33000000000001</v>
      </c>
      <c r="E30" s="28">
        <v>7.2</v>
      </c>
      <c r="F30" s="28">
        <v>7.33</v>
      </c>
      <c r="G30" s="28">
        <f t="shared" si="0"/>
        <v>14.530000000000001</v>
      </c>
      <c r="H30" s="28">
        <v>0</v>
      </c>
      <c r="I30" s="28">
        <v>0</v>
      </c>
      <c r="J30" s="29">
        <v>145</v>
      </c>
      <c r="K30" s="28">
        <f t="shared" si="1"/>
        <v>-89.979310344827582</v>
      </c>
      <c r="L30" s="28"/>
      <c r="M30" s="28" t="s">
        <v>80</v>
      </c>
      <c r="N30" s="28">
        <f t="shared" si="2"/>
        <v>35855.584858912596</v>
      </c>
      <c r="O30" s="28">
        <f t="shared" si="3"/>
        <v>-130.47</v>
      </c>
      <c r="P30" s="28">
        <v>5.0999999999999996</v>
      </c>
      <c r="Q30" s="28">
        <v>4.42</v>
      </c>
      <c r="R30" s="28">
        <v>5.17</v>
      </c>
      <c r="S30" s="28">
        <v>5.03</v>
      </c>
      <c r="T30" s="28">
        <v>4.28</v>
      </c>
      <c r="U30" s="28">
        <v>4.76</v>
      </c>
      <c r="V30" s="28">
        <f t="shared" si="4"/>
        <v>28.759999999999998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55310</v>
      </c>
      <c r="C31" s="28">
        <v>1087.04</v>
      </c>
      <c r="D31" s="28">
        <v>384.99</v>
      </c>
      <c r="E31" s="28">
        <v>20.72</v>
      </c>
      <c r="F31" s="28">
        <v>20.97</v>
      </c>
      <c r="G31" s="28">
        <f t="shared" si="0"/>
        <v>41.69</v>
      </c>
      <c r="H31" s="28">
        <v>0</v>
      </c>
      <c r="I31" s="28">
        <v>0</v>
      </c>
      <c r="J31" s="29">
        <v>164</v>
      </c>
      <c r="K31" s="28">
        <f t="shared" si="1"/>
        <v>-74.579268292682926</v>
      </c>
      <c r="L31" s="28"/>
      <c r="M31" s="28" t="s">
        <v>80</v>
      </c>
      <c r="N31" s="28">
        <f t="shared" si="2"/>
        <v>17906.234300791562</v>
      </c>
      <c r="O31" s="28">
        <f t="shared" si="3"/>
        <v>-122.31</v>
      </c>
      <c r="P31" s="28">
        <v>7.74</v>
      </c>
      <c r="Q31" s="28">
        <v>6.35</v>
      </c>
      <c r="R31" s="28">
        <v>7.11</v>
      </c>
      <c r="S31" s="28">
        <v>6.94</v>
      </c>
      <c r="T31" s="28">
        <v>6.19</v>
      </c>
      <c r="U31" s="28">
        <v>6.88</v>
      </c>
      <c r="V31" s="28">
        <f t="shared" si="4"/>
        <v>41.21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75140</v>
      </c>
      <c r="C32" s="28">
        <v>73.92</v>
      </c>
      <c r="D32" s="28">
        <v>1421.68</v>
      </c>
      <c r="E32" s="28">
        <v>30.52</v>
      </c>
      <c r="F32" s="28">
        <v>30.85</v>
      </c>
      <c r="G32" s="28">
        <f t="shared" si="0"/>
        <v>61.370000000000005</v>
      </c>
      <c r="H32" s="28">
        <v>0</v>
      </c>
      <c r="I32" s="28">
        <v>0</v>
      </c>
      <c r="J32" s="29">
        <v>164</v>
      </c>
      <c r="K32" s="28">
        <f t="shared" si="1"/>
        <v>-62.579268292682926</v>
      </c>
      <c r="L32" s="28"/>
      <c r="M32" s="28" t="s">
        <v>80</v>
      </c>
      <c r="N32" s="28">
        <f t="shared" si="2"/>
        <v>14029.5982401825</v>
      </c>
      <c r="O32" s="28">
        <f t="shared" si="3"/>
        <v>-102.63</v>
      </c>
      <c r="P32" s="28">
        <v>9.1</v>
      </c>
      <c r="Q32" s="28">
        <v>7.34</v>
      </c>
      <c r="R32" s="28">
        <v>8.07</v>
      </c>
      <c r="S32" s="28">
        <v>7.91</v>
      </c>
      <c r="T32" s="28">
        <v>7.17</v>
      </c>
      <c r="U32" s="28">
        <v>7.94</v>
      </c>
      <c r="V32" s="28">
        <f t="shared" si="4"/>
        <v>47.53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100330</v>
      </c>
      <c r="C33" s="28">
        <v>18.41</v>
      </c>
      <c r="D33" s="28">
        <v>6281.92</v>
      </c>
      <c r="E33" s="28">
        <v>42.82</v>
      </c>
      <c r="F33" s="28">
        <v>43.23</v>
      </c>
      <c r="G33" s="28">
        <f t="shared" si="0"/>
        <v>86.05</v>
      </c>
      <c r="H33" s="28">
        <v>0</v>
      </c>
      <c r="I33" s="28">
        <v>0</v>
      </c>
      <c r="J33" s="29">
        <v>164</v>
      </c>
      <c r="K33" s="28">
        <f t="shared" si="1"/>
        <v>-47.530487804878049</v>
      </c>
      <c r="L33" s="28"/>
      <c r="M33" s="28" t="s">
        <v>80</v>
      </c>
      <c r="N33" s="28">
        <f t="shared" si="2"/>
        <v>12424.584497385242</v>
      </c>
      <c r="O33" s="28">
        <f t="shared" si="3"/>
        <v>-77.95</v>
      </c>
      <c r="P33" s="28">
        <v>10</v>
      </c>
      <c r="Q33" s="28">
        <v>9.83</v>
      </c>
      <c r="R33" s="28">
        <v>10.52</v>
      </c>
      <c r="S33" s="28">
        <v>10.51</v>
      </c>
      <c r="T33" s="28">
        <v>9.6199999999999992</v>
      </c>
      <c r="U33" s="28">
        <v>8.5399999999999991</v>
      </c>
      <c r="V33" s="28">
        <f t="shared" si="4"/>
        <v>59.019999999999996</v>
      </c>
      <c r="W33" s="28">
        <v>9.1334894613583142</v>
      </c>
      <c r="X33" s="28">
        <v>0</v>
      </c>
    </row>
    <row r="34" spans="1:26" ht="16.5" x14ac:dyDescent="0.3">
      <c r="A34" s="30">
        <v>23</v>
      </c>
      <c r="B34" s="28">
        <v>108310</v>
      </c>
      <c r="C34" s="28">
        <v>0</v>
      </c>
      <c r="D34" s="28">
        <v>5638.16</v>
      </c>
      <c r="E34" s="28">
        <v>46.4</v>
      </c>
      <c r="F34" s="28">
        <v>46.84</v>
      </c>
      <c r="G34" s="28">
        <f t="shared" si="0"/>
        <v>93.240000000000009</v>
      </c>
      <c r="H34" s="28">
        <v>0</v>
      </c>
      <c r="I34" s="28">
        <v>0</v>
      </c>
      <c r="J34" s="29">
        <v>164</v>
      </c>
      <c r="K34" s="28">
        <f t="shared" si="1"/>
        <v>-43.146341463414629</v>
      </c>
      <c r="L34" s="28"/>
      <c r="M34" s="28" t="s">
        <v>80</v>
      </c>
      <c r="N34" s="28">
        <f t="shared" si="2"/>
        <v>11427.633376233374</v>
      </c>
      <c r="O34" s="28">
        <f t="shared" si="3"/>
        <v>-70.759999999999991</v>
      </c>
      <c r="P34" s="28">
        <v>9.9700000000000006</v>
      </c>
      <c r="Q34" s="28">
        <v>9.86</v>
      </c>
      <c r="R34" s="28">
        <v>10.55</v>
      </c>
      <c r="S34" s="28">
        <v>10.56</v>
      </c>
      <c r="T34" s="28">
        <v>9.65</v>
      </c>
      <c r="U34" s="28">
        <v>8.23</v>
      </c>
      <c r="V34" s="28">
        <f t="shared" si="4"/>
        <v>58.819999999999993</v>
      </c>
      <c r="W34" s="28">
        <v>11.179391100702574</v>
      </c>
      <c r="X34" s="28">
        <v>0</v>
      </c>
    </row>
    <row r="35" spans="1:26" ht="17.25" customHeight="1" thickBot="1" x14ac:dyDescent="0.35">
      <c r="A35" s="33">
        <v>24</v>
      </c>
      <c r="B35" s="28">
        <v>133060</v>
      </c>
      <c r="C35" s="28">
        <v>0</v>
      </c>
      <c r="D35" s="28">
        <v>9890.880000000001</v>
      </c>
      <c r="E35" s="28">
        <v>58.1</v>
      </c>
      <c r="F35" s="28">
        <v>58.62</v>
      </c>
      <c r="G35" s="28">
        <f t="shared" si="0"/>
        <v>116.72</v>
      </c>
      <c r="H35" s="28">
        <v>0</v>
      </c>
      <c r="I35" s="28">
        <v>0</v>
      </c>
      <c r="J35" s="29">
        <v>164</v>
      </c>
      <c r="K35" s="28">
        <f t="shared" si="1"/>
        <v>-28.829268292682926</v>
      </c>
      <c r="L35" s="28"/>
      <c r="M35" s="28" t="s">
        <v>80</v>
      </c>
      <c r="N35" s="28">
        <f t="shared" si="2"/>
        <v>11003.592529129541</v>
      </c>
      <c r="O35" s="28">
        <f t="shared" si="3"/>
        <v>-47.28</v>
      </c>
      <c r="P35" s="28">
        <v>10</v>
      </c>
      <c r="Q35" s="28">
        <v>12.92</v>
      </c>
      <c r="R35" s="28">
        <v>13.63</v>
      </c>
      <c r="S35" s="28">
        <v>13.62</v>
      </c>
      <c r="T35" s="28">
        <v>12.73</v>
      </c>
      <c r="U35" s="28">
        <v>8</v>
      </c>
      <c r="V35" s="28">
        <f t="shared" si="4"/>
        <v>70.900000000000006</v>
      </c>
      <c r="W35" s="28">
        <v>10.887119437939107</v>
      </c>
      <c r="X35" s="28">
        <v>0</v>
      </c>
    </row>
    <row r="36" spans="1:26" ht="17.25" thickBot="1" x14ac:dyDescent="0.3">
      <c r="A36" s="34" t="s">
        <v>46</v>
      </c>
      <c r="B36" s="35">
        <f t="shared" ref="B36:J36" si="5">SUM(B12:B35)</f>
        <v>503590</v>
      </c>
      <c r="C36" s="35">
        <f t="shared" si="5"/>
        <v>13778.69</v>
      </c>
      <c r="D36" s="35">
        <f t="shared" si="5"/>
        <v>53519.61</v>
      </c>
      <c r="E36" s="35">
        <f t="shared" si="5"/>
        <v>205.87</v>
      </c>
      <c r="F36" s="35">
        <f t="shared" si="5"/>
        <v>207.95000000000002</v>
      </c>
      <c r="G36" s="35">
        <f t="shared" si="5"/>
        <v>413.82000000000005</v>
      </c>
      <c r="H36" s="35">
        <f t="shared" si="5"/>
        <v>68498.559999999998</v>
      </c>
      <c r="I36" s="35">
        <f t="shared" si="5"/>
        <v>68112.62999999999</v>
      </c>
      <c r="J36" s="35">
        <f t="shared" si="5"/>
        <v>1380</v>
      </c>
      <c r="K36" s="36"/>
      <c r="L36" s="37"/>
      <c r="M36" s="38"/>
      <c r="N36" s="35">
        <f>IFERROR(AVERAGE(N12:N35),"")</f>
        <v>241687.03254323351</v>
      </c>
      <c r="O36" s="39">
        <f t="shared" ref="O36" si="6">SUM(O12:O35)</f>
        <v>-966.18</v>
      </c>
      <c r="P36" s="39">
        <f>SUM(P12:P35)</f>
        <v>56.71</v>
      </c>
      <c r="Q36" s="39">
        <f t="shared" ref="Q36:U36" si="7">SUM(Q12:Q35)</f>
        <v>56.93</v>
      </c>
      <c r="R36" s="39">
        <f t="shared" si="7"/>
        <v>60.12</v>
      </c>
      <c r="S36" s="39">
        <f t="shared" si="7"/>
        <v>58.18</v>
      </c>
      <c r="T36" s="39">
        <f t="shared" si="7"/>
        <v>54.489999999999995</v>
      </c>
      <c r="U36" s="39">
        <f t="shared" si="7"/>
        <v>48.64</v>
      </c>
      <c r="V36" s="39">
        <f>SUM(V12:V35)</f>
        <v>335.06999999999994</v>
      </c>
      <c r="W36" s="40">
        <f>SUM(W12:W35)</f>
        <v>31.199999999999996</v>
      </c>
      <c r="X36" s="40">
        <f>SUM(X12:X35)</f>
        <v>13602.361825893802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2829.0407174345428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+X39+X36</f>
        <v>16431.402543328346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136611.19</v>
      </c>
      <c r="J41" s="41"/>
      <c r="K41" s="13" t="s">
        <v>59</v>
      </c>
      <c r="L41" s="55">
        <v>224068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0.27083333333333331</v>
      </c>
      <c r="B42" s="57">
        <v>0.72916666666666663</v>
      </c>
      <c r="C42" s="57">
        <v>0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60">
        <v>92607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>
        <f>IFERROR(3412.14/N36,"")</f>
        <v>1.4118010238673557E-2</v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2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David Ortiz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155740</v>
      </c>
      <c r="C58" s="28">
        <v>354.79</v>
      </c>
      <c r="D58" s="81">
        <v>547.66999999999996</v>
      </c>
      <c r="E58" s="82">
        <v>125.62</v>
      </c>
      <c r="F58" s="83">
        <v>0</v>
      </c>
      <c r="G58" s="82">
        <v>215</v>
      </c>
      <c r="H58" s="84">
        <f t="shared" ref="H58:H81" si="8">IF(G58=0,0,100*(E58-G58)/G58)</f>
        <v>-41.572093023255817</v>
      </c>
      <c r="I58" s="85"/>
      <c r="J58" s="85" t="s">
        <v>73</v>
      </c>
      <c r="K58" s="86">
        <f t="shared" ref="K58:K81" si="9">IFERROR(U58*1000*2.2*$K$92/E58/1000,"")</f>
        <v>12104.884413309986</v>
      </c>
      <c r="L58" s="87">
        <f t="shared" ref="L58:L81" si="10">IF(OR(H58&gt;5,H58&lt;-5),E58-G58,"")</f>
        <v>-89.38</v>
      </c>
      <c r="M58" s="88">
        <v>12.3</v>
      </c>
      <c r="N58" s="88">
        <v>8.14</v>
      </c>
      <c r="O58" s="88">
        <v>6.3</v>
      </c>
      <c r="P58" s="88">
        <v>8.41</v>
      </c>
      <c r="Q58" s="88">
        <v>10.14</v>
      </c>
      <c r="R58" s="88">
        <v>9.09</v>
      </c>
      <c r="S58" s="88">
        <v>8.6</v>
      </c>
      <c r="T58" s="88">
        <v>13.87</v>
      </c>
      <c r="U58" s="28">
        <f>+SUM(M58:T58)</f>
        <v>76.850000000000009</v>
      </c>
      <c r="V58" s="81">
        <v>3.4677835051546388</v>
      </c>
      <c r="W58" s="81">
        <v>0</v>
      </c>
      <c r="X58" s="89"/>
      <c r="Y58"/>
    </row>
    <row r="59" spans="1:26" ht="16.5" x14ac:dyDescent="0.3">
      <c r="A59" s="90">
        <v>2</v>
      </c>
      <c r="B59" s="28">
        <v>150530</v>
      </c>
      <c r="C59" s="28">
        <v>4088.49</v>
      </c>
      <c r="D59" s="81">
        <v>24.75</v>
      </c>
      <c r="E59" s="82">
        <v>121.97</v>
      </c>
      <c r="F59" s="82">
        <v>0</v>
      </c>
      <c r="G59" s="82">
        <v>165</v>
      </c>
      <c r="H59" s="91">
        <f t="shared" si="8"/>
        <v>-26.078787878787878</v>
      </c>
      <c r="I59" s="85"/>
      <c r="J59" s="85" t="s">
        <v>73</v>
      </c>
      <c r="K59" s="86">
        <f t="shared" si="9"/>
        <v>12437.926998442241</v>
      </c>
      <c r="L59" s="87">
        <f t="shared" si="10"/>
        <v>-43.03</v>
      </c>
      <c r="M59" s="88">
        <v>12.25</v>
      </c>
      <c r="N59" s="88">
        <v>8.18</v>
      </c>
      <c r="O59" s="88">
        <v>6.32</v>
      </c>
      <c r="P59" s="88">
        <v>8.42</v>
      </c>
      <c r="Q59" s="88">
        <v>10.06</v>
      </c>
      <c r="R59" s="88">
        <v>9.08</v>
      </c>
      <c r="S59" s="88">
        <v>8.5399999999999991</v>
      </c>
      <c r="T59" s="88">
        <v>13.82</v>
      </c>
      <c r="U59" s="28">
        <f t="shared" ref="U59:U81" si="11">+SUM(M59:T59)</f>
        <v>76.67</v>
      </c>
      <c r="V59" s="81">
        <v>3.4828608247422683</v>
      </c>
      <c r="W59" s="81">
        <v>0</v>
      </c>
      <c r="X59" s="89"/>
      <c r="Y59"/>
    </row>
    <row r="60" spans="1:26" ht="16.5" x14ac:dyDescent="0.3">
      <c r="A60" s="90">
        <v>3</v>
      </c>
      <c r="B60" s="28">
        <v>146540</v>
      </c>
      <c r="C60" s="28">
        <v>8740.26</v>
      </c>
      <c r="D60" s="81">
        <v>0</v>
      </c>
      <c r="E60" s="82">
        <v>117.51</v>
      </c>
      <c r="F60" s="82">
        <v>0</v>
      </c>
      <c r="G60" s="82">
        <v>130</v>
      </c>
      <c r="H60" s="91">
        <f t="shared" si="8"/>
        <v>-9.6076923076923038</v>
      </c>
      <c r="I60" s="85"/>
      <c r="J60" s="85" t="s">
        <v>73</v>
      </c>
      <c r="K60" s="86">
        <f t="shared" si="9"/>
        <v>12928.521010977787</v>
      </c>
      <c r="L60" s="87">
        <f t="shared" si="10"/>
        <v>-12.489999999999995</v>
      </c>
      <c r="M60" s="88">
        <v>12.24</v>
      </c>
      <c r="N60" s="88">
        <v>8.11</v>
      </c>
      <c r="O60" s="88">
        <v>6.26</v>
      </c>
      <c r="P60" s="88">
        <v>8.32</v>
      </c>
      <c r="Q60" s="88">
        <v>10.23</v>
      </c>
      <c r="R60" s="88">
        <v>9.07</v>
      </c>
      <c r="S60" s="88">
        <v>8.65</v>
      </c>
      <c r="T60" s="88">
        <v>13.9</v>
      </c>
      <c r="U60" s="28">
        <f t="shared" si="11"/>
        <v>76.78</v>
      </c>
      <c r="V60" s="81">
        <v>3.6185567010309279</v>
      </c>
      <c r="W60" s="81">
        <v>0</v>
      </c>
      <c r="X60" s="89"/>
      <c r="Y60"/>
    </row>
    <row r="61" spans="1:26" ht="16.5" x14ac:dyDescent="0.3">
      <c r="A61" s="90">
        <v>4</v>
      </c>
      <c r="B61" s="28">
        <v>145710</v>
      </c>
      <c r="C61" s="28">
        <v>10798.13</v>
      </c>
      <c r="D61" s="81">
        <v>0</v>
      </c>
      <c r="E61" s="82">
        <v>116.59</v>
      </c>
      <c r="F61" s="82">
        <v>0</v>
      </c>
      <c r="G61" s="82">
        <v>130</v>
      </c>
      <c r="H61" s="91">
        <f t="shared" si="8"/>
        <v>-10.315384615384612</v>
      </c>
      <c r="I61" s="85"/>
      <c r="J61" s="85" t="s">
        <v>73</v>
      </c>
      <c r="K61" s="86">
        <f t="shared" si="9"/>
        <v>12979.624873488292</v>
      </c>
      <c r="L61" s="87">
        <f t="shared" si="10"/>
        <v>-13.409999999999997</v>
      </c>
      <c r="M61" s="88">
        <v>12.07</v>
      </c>
      <c r="N61" s="88">
        <v>7.89</v>
      </c>
      <c r="O61" s="88">
        <v>6.09</v>
      </c>
      <c r="P61" s="88">
        <v>8.18</v>
      </c>
      <c r="Q61" s="88">
        <v>10.56</v>
      </c>
      <c r="R61" s="88">
        <v>8.65</v>
      </c>
      <c r="S61" s="88">
        <v>8.3000000000000007</v>
      </c>
      <c r="T61" s="88">
        <v>14.74</v>
      </c>
      <c r="U61" s="28">
        <f t="shared" si="11"/>
        <v>76.48</v>
      </c>
      <c r="V61" s="81">
        <v>3.5431701030927836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145030</v>
      </c>
      <c r="C62" s="28">
        <v>11603.58</v>
      </c>
      <c r="D62" s="81">
        <v>0</v>
      </c>
      <c r="E62" s="82">
        <v>116.25</v>
      </c>
      <c r="F62" s="82">
        <v>0</v>
      </c>
      <c r="G62" s="82">
        <v>90</v>
      </c>
      <c r="H62" s="91">
        <f t="shared" si="8"/>
        <v>29.166666666666668</v>
      </c>
      <c r="I62" s="85" t="s">
        <v>79</v>
      </c>
      <c r="J62" s="85" t="s">
        <v>78</v>
      </c>
      <c r="K62" s="86">
        <f t="shared" si="9"/>
        <v>13041.416051612903</v>
      </c>
      <c r="L62" s="87">
        <f t="shared" si="10"/>
        <v>26.25</v>
      </c>
      <c r="M62" s="88">
        <v>12.66</v>
      </c>
      <c r="N62" s="88">
        <v>7.76</v>
      </c>
      <c r="O62" s="88">
        <v>5.41</v>
      </c>
      <c r="P62" s="88">
        <v>8.0299999999999994</v>
      </c>
      <c r="Q62" s="88">
        <v>10.31</v>
      </c>
      <c r="R62" s="88">
        <v>8.76</v>
      </c>
      <c r="S62" s="88">
        <v>6.76</v>
      </c>
      <c r="T62" s="88">
        <v>16.93</v>
      </c>
      <c r="U62" s="28">
        <f t="shared" si="11"/>
        <v>76.62</v>
      </c>
      <c r="V62" s="81">
        <v>3.5582474226804126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143660</v>
      </c>
      <c r="C63" s="28">
        <v>11138.09</v>
      </c>
      <c r="D63" s="81">
        <v>0</v>
      </c>
      <c r="E63" s="82">
        <v>114.71</v>
      </c>
      <c r="F63" s="82">
        <v>0</v>
      </c>
      <c r="G63" s="82">
        <v>0</v>
      </c>
      <c r="H63" s="91">
        <f t="shared" si="8"/>
        <v>0</v>
      </c>
      <c r="I63" s="85" t="s">
        <v>79</v>
      </c>
      <c r="J63" s="85" t="s">
        <v>78</v>
      </c>
      <c r="K63" s="86">
        <f t="shared" si="9"/>
        <v>13135.426902624007</v>
      </c>
      <c r="L63" s="87" t="str">
        <f t="shared" si="10"/>
        <v/>
      </c>
      <c r="M63" s="88">
        <v>12.95</v>
      </c>
      <c r="N63" s="88">
        <v>7.69</v>
      </c>
      <c r="O63" s="88">
        <v>5.0599999999999996</v>
      </c>
      <c r="P63" s="88">
        <v>8.0399999999999991</v>
      </c>
      <c r="Q63" s="88">
        <v>10.199999999999999</v>
      </c>
      <c r="R63" s="88">
        <v>9.1199999999999992</v>
      </c>
      <c r="S63" s="88">
        <v>6.61</v>
      </c>
      <c r="T63" s="88">
        <v>16.48</v>
      </c>
      <c r="U63" s="28">
        <f t="shared" si="11"/>
        <v>76.149999999999991</v>
      </c>
      <c r="V63" s="81">
        <v>3.0154639175257731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81390</v>
      </c>
      <c r="C64" s="28">
        <v>12257.09</v>
      </c>
      <c r="D64" s="81">
        <v>0</v>
      </c>
      <c r="E64" s="82">
        <v>64.069999999999993</v>
      </c>
      <c r="F64" s="82">
        <v>0</v>
      </c>
      <c r="G64" s="82">
        <v>0</v>
      </c>
      <c r="H64" s="91">
        <f t="shared" si="8"/>
        <v>0</v>
      </c>
      <c r="I64" s="85" t="s">
        <v>79</v>
      </c>
      <c r="J64" s="85" t="s">
        <v>78</v>
      </c>
      <c r="K64" s="86">
        <f t="shared" si="9"/>
        <v>12007.347963165288</v>
      </c>
      <c r="L64" s="87" t="str">
        <f t="shared" si="10"/>
        <v/>
      </c>
      <c r="M64" s="88">
        <v>8.57</v>
      </c>
      <c r="N64" s="88">
        <v>1.82</v>
      </c>
      <c r="O64" s="88">
        <v>4.54</v>
      </c>
      <c r="P64" s="88">
        <v>3.74</v>
      </c>
      <c r="Q64" s="88">
        <v>6.67</v>
      </c>
      <c r="R64" s="88">
        <v>2.39</v>
      </c>
      <c r="S64" s="88">
        <v>4.83</v>
      </c>
      <c r="T64" s="88">
        <v>6.32</v>
      </c>
      <c r="U64" s="28">
        <f t="shared" si="11"/>
        <v>38.880000000000003</v>
      </c>
      <c r="V64" s="81">
        <v>2.713917525773196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1006.01</v>
      </c>
      <c r="D65" s="81">
        <v>2574.48</v>
      </c>
      <c r="E65" s="82">
        <v>0.39</v>
      </c>
      <c r="F65" s="82">
        <v>14588.14</v>
      </c>
      <c r="G65" s="82">
        <v>0</v>
      </c>
      <c r="H65" s="91">
        <f t="shared" si="8"/>
        <v>0</v>
      </c>
      <c r="I65" s="85"/>
      <c r="J65" s="85"/>
      <c r="K65" s="86">
        <f t="shared" si="9"/>
        <v>0</v>
      </c>
      <c r="L65" s="87" t="str">
        <f t="shared" si="10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11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553.48</v>
      </c>
      <c r="D66" s="81">
        <v>461.63</v>
      </c>
      <c r="E66" s="82">
        <v>0</v>
      </c>
      <c r="F66" s="82">
        <v>11134.8</v>
      </c>
      <c r="G66" s="82">
        <v>0</v>
      </c>
      <c r="H66" s="91">
        <f t="shared" si="8"/>
        <v>0</v>
      </c>
      <c r="I66" s="85"/>
      <c r="J66" s="85"/>
      <c r="K66" s="86" t="str">
        <f t="shared" si="9"/>
        <v/>
      </c>
      <c r="L66" s="87" t="str">
        <f t="shared" si="10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11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1621.63</v>
      </c>
      <c r="D67" s="81">
        <v>0</v>
      </c>
      <c r="E67" s="82">
        <v>0</v>
      </c>
      <c r="F67" s="82">
        <v>8541.7900000000009</v>
      </c>
      <c r="G67" s="82">
        <v>0</v>
      </c>
      <c r="H67" s="91">
        <f t="shared" si="8"/>
        <v>0</v>
      </c>
      <c r="I67" s="85"/>
      <c r="J67" s="85"/>
      <c r="K67" s="86" t="str">
        <f t="shared" si="9"/>
        <v/>
      </c>
      <c r="L67" s="87" t="str">
        <f t="shared" si="10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11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1103.48</v>
      </c>
      <c r="D68" s="81">
        <v>0.02</v>
      </c>
      <c r="E68" s="82">
        <v>0</v>
      </c>
      <c r="F68" s="82">
        <v>8395.59</v>
      </c>
      <c r="G68" s="82">
        <v>0</v>
      </c>
      <c r="H68" s="91">
        <f t="shared" si="8"/>
        <v>0</v>
      </c>
      <c r="I68" s="85"/>
      <c r="J68" s="85"/>
      <c r="K68" s="86" t="str">
        <f t="shared" si="9"/>
        <v/>
      </c>
      <c r="L68" s="87" t="str">
        <f t="shared" si="10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11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600.05999999999995</v>
      </c>
      <c r="D69" s="81">
        <v>0</v>
      </c>
      <c r="E69" s="82">
        <v>0</v>
      </c>
      <c r="F69" s="82">
        <v>8063.58</v>
      </c>
      <c r="G69" s="82">
        <v>0</v>
      </c>
      <c r="H69" s="91">
        <f t="shared" si="8"/>
        <v>0</v>
      </c>
      <c r="I69" s="85"/>
      <c r="J69" s="85"/>
      <c r="K69" s="86" t="str">
        <f t="shared" si="9"/>
        <v/>
      </c>
      <c r="L69" s="87" t="str">
        <f t="shared" si="10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11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992.74</v>
      </c>
      <c r="D70" s="81">
        <v>0</v>
      </c>
      <c r="E70" s="82">
        <v>0</v>
      </c>
      <c r="F70" s="82">
        <v>7342.81</v>
      </c>
      <c r="G70" s="82">
        <v>0</v>
      </c>
      <c r="H70" s="91">
        <f t="shared" si="8"/>
        <v>0</v>
      </c>
      <c r="I70" s="85"/>
      <c r="J70" s="85"/>
      <c r="K70" s="86" t="str">
        <f t="shared" si="9"/>
        <v/>
      </c>
      <c r="L70" s="87" t="str">
        <f t="shared" si="10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11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883.8</v>
      </c>
      <c r="D71" s="81">
        <v>0</v>
      </c>
      <c r="E71" s="82">
        <v>0</v>
      </c>
      <c r="F71" s="82">
        <v>7462.48</v>
      </c>
      <c r="G71" s="82">
        <v>0</v>
      </c>
      <c r="H71" s="91">
        <f t="shared" si="8"/>
        <v>0</v>
      </c>
      <c r="I71" s="85"/>
      <c r="J71" s="85"/>
      <c r="K71" s="86" t="str">
        <f t="shared" si="9"/>
        <v/>
      </c>
      <c r="L71" s="87" t="str">
        <f t="shared" si="10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11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803.39</v>
      </c>
      <c r="D72" s="81">
        <v>0.68</v>
      </c>
      <c r="E72" s="82">
        <v>0</v>
      </c>
      <c r="F72" s="82">
        <v>7593.96</v>
      </c>
      <c r="G72" s="82">
        <v>0</v>
      </c>
      <c r="H72" s="91">
        <f t="shared" si="8"/>
        <v>0</v>
      </c>
      <c r="I72" s="85"/>
      <c r="J72" s="85"/>
      <c r="K72" s="86" t="str">
        <f t="shared" si="9"/>
        <v/>
      </c>
      <c r="L72" s="87" t="str">
        <f t="shared" si="10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11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896.96</v>
      </c>
      <c r="D73" s="81">
        <v>0</v>
      </c>
      <c r="E73" s="82">
        <v>0</v>
      </c>
      <c r="F73" s="82">
        <v>7468.99</v>
      </c>
      <c r="G73" s="82">
        <v>0</v>
      </c>
      <c r="H73" s="91">
        <f t="shared" si="8"/>
        <v>0</v>
      </c>
      <c r="I73" s="85"/>
      <c r="J73" s="85"/>
      <c r="K73" s="86" t="str">
        <f t="shared" si="9"/>
        <v/>
      </c>
      <c r="L73" s="87" t="str">
        <f t="shared" si="10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11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1055.06</v>
      </c>
      <c r="D74" s="81">
        <v>0</v>
      </c>
      <c r="E74" s="82">
        <v>0</v>
      </c>
      <c r="F74" s="82">
        <v>7060.19</v>
      </c>
      <c r="G74" s="82">
        <v>0</v>
      </c>
      <c r="H74" s="91">
        <f t="shared" si="8"/>
        <v>0</v>
      </c>
      <c r="I74" s="85"/>
      <c r="J74" s="85"/>
      <c r="K74" s="86" t="str">
        <f t="shared" si="9"/>
        <v/>
      </c>
      <c r="L74" s="87" t="str">
        <f t="shared" si="10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11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1307.22</v>
      </c>
      <c r="D75" s="81">
        <v>0</v>
      </c>
      <c r="E75" s="82">
        <v>0</v>
      </c>
      <c r="F75" s="82">
        <v>6638.23</v>
      </c>
      <c r="G75" s="82">
        <v>0</v>
      </c>
      <c r="H75" s="91">
        <f t="shared" si="8"/>
        <v>0</v>
      </c>
      <c r="I75" s="85"/>
      <c r="J75" s="85"/>
      <c r="K75" s="86" t="str">
        <f t="shared" si="9"/>
        <v/>
      </c>
      <c r="L75" s="87" t="str">
        <f t="shared" si="10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11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1320.76</v>
      </c>
      <c r="D76" s="81">
        <v>0</v>
      </c>
      <c r="E76" s="82">
        <v>0</v>
      </c>
      <c r="F76" s="82">
        <v>6573.64</v>
      </c>
      <c r="G76" s="82">
        <v>0</v>
      </c>
      <c r="H76" s="91">
        <f t="shared" si="8"/>
        <v>0</v>
      </c>
      <c r="I76" s="85"/>
      <c r="J76" s="85"/>
      <c r="K76" s="86" t="str">
        <f t="shared" si="9"/>
        <v/>
      </c>
      <c r="L76" s="87" t="str">
        <f t="shared" si="10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11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1320.93</v>
      </c>
      <c r="D77" s="81">
        <v>0</v>
      </c>
      <c r="E77" s="82">
        <v>0</v>
      </c>
      <c r="F77" s="82">
        <v>6595.89</v>
      </c>
      <c r="G77" s="82">
        <v>0</v>
      </c>
      <c r="H77" s="91">
        <f t="shared" si="8"/>
        <v>0</v>
      </c>
      <c r="I77" s="85"/>
      <c r="J77" s="85"/>
      <c r="K77" s="86" t="str">
        <f t="shared" si="9"/>
        <v/>
      </c>
      <c r="L77" s="87" t="str">
        <f t="shared" si="10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11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1315.79</v>
      </c>
      <c r="D78" s="81">
        <v>0</v>
      </c>
      <c r="E78" s="82">
        <v>0</v>
      </c>
      <c r="F78" s="82">
        <v>6571.81</v>
      </c>
      <c r="G78" s="82">
        <v>0</v>
      </c>
      <c r="H78" s="91">
        <f t="shared" si="8"/>
        <v>0</v>
      </c>
      <c r="I78" s="85"/>
      <c r="J78" s="85"/>
      <c r="K78" s="86" t="str">
        <f t="shared" si="9"/>
        <v/>
      </c>
      <c r="L78" s="87" t="str">
        <f t="shared" si="10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1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1318.25</v>
      </c>
      <c r="D79" s="81">
        <v>0</v>
      </c>
      <c r="E79" s="82">
        <v>0</v>
      </c>
      <c r="F79" s="82">
        <v>6576.47</v>
      </c>
      <c r="G79" s="82">
        <v>0</v>
      </c>
      <c r="H79" s="91">
        <f t="shared" si="8"/>
        <v>0</v>
      </c>
      <c r="I79" s="85"/>
      <c r="J79" s="85"/>
      <c r="K79" s="86" t="str">
        <f t="shared" si="9"/>
        <v/>
      </c>
      <c r="L79" s="87" t="str">
        <f t="shared" si="10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1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1342.2</v>
      </c>
      <c r="D80" s="81">
        <v>0</v>
      </c>
      <c r="E80" s="82">
        <v>0</v>
      </c>
      <c r="F80" s="82">
        <v>6474.85</v>
      </c>
      <c r="G80" s="82">
        <v>0</v>
      </c>
      <c r="H80" s="91">
        <f t="shared" si="8"/>
        <v>0</v>
      </c>
      <c r="I80" s="85"/>
      <c r="J80" s="85"/>
      <c r="K80" s="86" t="str">
        <f t="shared" si="9"/>
        <v/>
      </c>
      <c r="L80" s="87" t="str">
        <f t="shared" si="10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1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1377.71</v>
      </c>
      <c r="D81" s="28">
        <v>0</v>
      </c>
      <c r="E81" s="96">
        <v>0</v>
      </c>
      <c r="F81" s="97">
        <v>6339.46</v>
      </c>
      <c r="G81" s="82">
        <v>0</v>
      </c>
      <c r="H81" s="98">
        <f t="shared" si="8"/>
        <v>0</v>
      </c>
      <c r="I81" s="85"/>
      <c r="J81" s="85"/>
      <c r="K81" s="99" t="str">
        <f t="shared" si="9"/>
        <v/>
      </c>
      <c r="L81" s="87" t="str">
        <f t="shared" si="10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1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2">SUM(B58:B81)</f>
        <v>968600</v>
      </c>
      <c r="C82" s="35">
        <f t="shared" si="12"/>
        <v>77799.89999999998</v>
      </c>
      <c r="D82" s="35">
        <f t="shared" si="12"/>
        <v>3609.23</v>
      </c>
      <c r="E82" s="35">
        <f t="shared" si="12"/>
        <v>777.11</v>
      </c>
      <c r="F82" s="101">
        <f t="shared" si="12"/>
        <v>133422.68</v>
      </c>
      <c r="G82" s="35">
        <f t="shared" si="12"/>
        <v>730</v>
      </c>
      <c r="H82" s="102"/>
      <c r="I82" s="103"/>
      <c r="J82" s="104"/>
      <c r="K82" s="105">
        <f>IFERROR(AVERAGE(K58:K81),"")</f>
        <v>11079.393526702563</v>
      </c>
      <c r="L82" s="40">
        <f t="shared" ref="L82:U82" si="13">SUM(L58:L81)</f>
        <v>-132.05999999999997</v>
      </c>
      <c r="M82" s="40">
        <f t="shared" si="13"/>
        <v>83.039999999999992</v>
      </c>
      <c r="N82" s="39">
        <f t="shared" si="13"/>
        <v>49.589999999999996</v>
      </c>
      <c r="O82" s="39">
        <f t="shared" si="13"/>
        <v>39.980000000000004</v>
      </c>
      <c r="P82" s="39">
        <f t="shared" si="13"/>
        <v>53.14</v>
      </c>
      <c r="Q82" s="39">
        <f t="shared" si="13"/>
        <v>68.17</v>
      </c>
      <c r="R82" s="39">
        <f t="shared" si="13"/>
        <v>56.16</v>
      </c>
      <c r="S82" s="39">
        <f t="shared" si="13"/>
        <v>52.29</v>
      </c>
      <c r="T82" s="39">
        <f t="shared" si="13"/>
        <v>96.06</v>
      </c>
      <c r="U82" s="39">
        <f t="shared" si="13"/>
        <v>498.43</v>
      </c>
      <c r="V82" s="39">
        <f>+SUM(V58:V81)</f>
        <v>23.4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133422.68</v>
      </c>
      <c r="J87" s="41"/>
      <c r="K87" s="62" t="s">
        <v>59</v>
      </c>
      <c r="L87" s="55">
        <v>20649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0.29375000000000001</v>
      </c>
      <c r="B88" s="57">
        <v>0.62291666666666667</v>
      </c>
      <c r="C88" s="57">
        <v>0</v>
      </c>
      <c r="D88" s="57">
        <v>8.3333333333333329E-2</v>
      </c>
      <c r="E88" s="58"/>
      <c r="F88" s="58"/>
      <c r="G88" s="41"/>
      <c r="H88" s="167"/>
      <c r="I88" s="197"/>
      <c r="J88" s="41"/>
      <c r="K88" s="63" t="s">
        <v>60</v>
      </c>
      <c r="L88" s="60">
        <v>34775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>
        <f>IFERROR(3412.14/K82,"")</f>
        <v>0.30797173074287554</v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K90:L90"/>
    <mergeCell ref="B91:B92"/>
    <mergeCell ref="C91:I92"/>
    <mergeCell ref="K91:L91"/>
    <mergeCell ref="K92:L92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A85:A86"/>
    <mergeCell ref="B85:B86"/>
    <mergeCell ref="C85:C86"/>
    <mergeCell ref="D85:D86"/>
    <mergeCell ref="H85:I8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H41:H42"/>
    <mergeCell ref="I41:I42"/>
    <mergeCell ref="K44:L44"/>
    <mergeCell ref="C45:I46"/>
    <mergeCell ref="K45:L45"/>
    <mergeCell ref="K46:L46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A39:A40"/>
    <mergeCell ref="B39:B40"/>
    <mergeCell ref="C39:C40"/>
    <mergeCell ref="D39:D40"/>
    <mergeCell ref="H39:I40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1:C1"/>
    <mergeCell ref="D1:U2"/>
    <mergeCell ref="V1:X4"/>
    <mergeCell ref="A2:C2"/>
    <mergeCell ref="A3:C3"/>
    <mergeCell ref="D3:U4"/>
    <mergeCell ref="A4:C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CEAA5-54C7-48BE-9542-B4EF0A032B39}">
  <dimension ref="A1:Z109"/>
  <sheetViews>
    <sheetView zoomScale="90" zoomScaleNormal="90" workbookViewId="0">
      <selection activeCell="X40" sqref="X40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3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81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158530</v>
      </c>
      <c r="C12" s="28">
        <v>0</v>
      </c>
      <c r="D12" s="28">
        <v>14070.48</v>
      </c>
      <c r="E12" s="28">
        <v>70.3</v>
      </c>
      <c r="F12" s="28">
        <v>70.92</v>
      </c>
      <c r="G12" s="28">
        <f t="shared" ref="G12:G35" si="0">+E12+F12</f>
        <v>141.22</v>
      </c>
      <c r="H12" s="28">
        <v>0</v>
      </c>
      <c r="I12" s="28">
        <v>0</v>
      </c>
      <c r="J12" s="112">
        <v>164</v>
      </c>
      <c r="K12" s="28">
        <f t="shared" ref="K12:K35" si="1">IF(J12=0,0,100*(G12-J12)/J12)</f>
        <v>-13.890243902439025</v>
      </c>
      <c r="L12" s="28"/>
      <c r="M12" s="28"/>
      <c r="N12" s="28">
        <f t="shared" ref="N12:N35" si="2">IFERROR(V12*1000*2.2*$K$46/G12/1000,"")</f>
        <v>10369.639087947882</v>
      </c>
      <c r="O12" s="28">
        <f t="shared" ref="O12:O35" si="3">IF(OR(K12&gt;5,K12&lt;-5),G12-J12,"")</f>
        <v>-22.78</v>
      </c>
      <c r="P12" s="28">
        <v>10.06</v>
      </c>
      <c r="Q12" s="28">
        <v>15.37</v>
      </c>
      <c r="R12" s="28">
        <v>16.07</v>
      </c>
      <c r="S12" s="28">
        <v>16.059999999999999</v>
      </c>
      <c r="T12" s="28">
        <v>15.16</v>
      </c>
      <c r="U12" s="28">
        <v>8.1199999999999992</v>
      </c>
      <c r="V12" s="28">
        <f t="shared" ref="V12:V35" si="4">+SUM(P12:U12)</f>
        <v>80.84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160630</v>
      </c>
      <c r="C13" s="28">
        <v>0</v>
      </c>
      <c r="D13" s="28">
        <v>13882.73</v>
      </c>
      <c r="E13" s="28">
        <v>71.459999999999994</v>
      </c>
      <c r="F13" s="28">
        <v>72.09</v>
      </c>
      <c r="G13" s="28">
        <f t="shared" si="0"/>
        <v>143.55000000000001</v>
      </c>
      <c r="H13" s="28">
        <v>0</v>
      </c>
      <c r="I13" s="28">
        <v>0</v>
      </c>
      <c r="J13" s="112">
        <v>140</v>
      </c>
      <c r="K13" s="28">
        <f t="shared" si="1"/>
        <v>2.535714285714294</v>
      </c>
      <c r="L13" s="28"/>
      <c r="M13" s="28"/>
      <c r="N13" s="28">
        <f t="shared" si="2"/>
        <v>10065.039693486589</v>
      </c>
      <c r="O13" s="28" t="str">
        <f t="shared" si="3"/>
        <v/>
      </c>
      <c r="P13" s="28">
        <v>10.130000000000001</v>
      </c>
      <c r="Q13" s="28">
        <v>15.08</v>
      </c>
      <c r="R13" s="28">
        <v>15.78</v>
      </c>
      <c r="S13" s="28">
        <v>15.78</v>
      </c>
      <c r="T13" s="28">
        <v>14.88</v>
      </c>
      <c r="U13" s="28">
        <v>8.11</v>
      </c>
      <c r="V13" s="28">
        <f t="shared" si="4"/>
        <v>79.760000000000005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159630</v>
      </c>
      <c r="C14" s="28">
        <v>0</v>
      </c>
      <c r="D14" s="28">
        <v>12572.83</v>
      </c>
      <c r="E14" s="28">
        <v>70.98</v>
      </c>
      <c r="F14" s="28">
        <v>71.599999999999994</v>
      </c>
      <c r="G14" s="28">
        <f t="shared" si="0"/>
        <v>142.57999999999998</v>
      </c>
      <c r="H14" s="28">
        <v>0</v>
      </c>
      <c r="I14" s="28">
        <v>0</v>
      </c>
      <c r="J14" s="112">
        <v>138</v>
      </c>
      <c r="K14" s="28">
        <f t="shared" si="1"/>
        <v>3.3188405797101335</v>
      </c>
      <c r="L14" s="28"/>
      <c r="M14" s="28"/>
      <c r="N14" s="28">
        <f t="shared" si="2"/>
        <v>10025.521587880488</v>
      </c>
      <c r="O14" s="28" t="str">
        <f t="shared" si="3"/>
        <v/>
      </c>
      <c r="P14" s="28">
        <v>9.99</v>
      </c>
      <c r="Q14" s="28">
        <v>14.89</v>
      </c>
      <c r="R14" s="28">
        <v>15.59</v>
      </c>
      <c r="S14" s="28">
        <v>15.59</v>
      </c>
      <c r="T14" s="28">
        <v>14.69</v>
      </c>
      <c r="U14" s="28">
        <v>8.16</v>
      </c>
      <c r="V14" s="28">
        <f t="shared" si="4"/>
        <v>78.91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164830</v>
      </c>
      <c r="C15" s="28">
        <v>284.01</v>
      </c>
      <c r="D15" s="28">
        <v>11181.08</v>
      </c>
      <c r="E15" s="28">
        <v>73.319999999999993</v>
      </c>
      <c r="F15" s="28">
        <v>73.98</v>
      </c>
      <c r="G15" s="28">
        <f t="shared" si="0"/>
        <v>147.30000000000001</v>
      </c>
      <c r="H15" s="28">
        <v>0</v>
      </c>
      <c r="I15" s="28">
        <v>0</v>
      </c>
      <c r="J15" s="112">
        <v>153.46</v>
      </c>
      <c r="K15" s="28">
        <f t="shared" si="1"/>
        <v>-4.0140753290759781</v>
      </c>
      <c r="L15" s="28" t="s">
        <v>79</v>
      </c>
      <c r="M15" s="28"/>
      <c r="N15" s="28">
        <f t="shared" si="2"/>
        <v>9904.724996605566</v>
      </c>
      <c r="O15" s="28" t="str">
        <f t="shared" si="3"/>
        <v/>
      </c>
      <c r="P15" s="28">
        <v>9.83</v>
      </c>
      <c r="Q15" s="28">
        <v>15.35</v>
      </c>
      <c r="R15" s="28">
        <v>16.059999999999999</v>
      </c>
      <c r="S15" s="28">
        <v>16.059999999999999</v>
      </c>
      <c r="T15" s="28">
        <v>15.15</v>
      </c>
      <c r="U15" s="28">
        <v>8.09</v>
      </c>
      <c r="V15" s="28">
        <f t="shared" si="4"/>
        <v>80.540000000000006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166400</v>
      </c>
      <c r="C16" s="28">
        <v>11663.150000000001</v>
      </c>
      <c r="D16" s="28">
        <v>0</v>
      </c>
      <c r="E16" s="28">
        <v>74.069999999999993</v>
      </c>
      <c r="F16" s="28">
        <v>74.75</v>
      </c>
      <c r="G16" s="28">
        <f t="shared" si="0"/>
        <v>148.82</v>
      </c>
      <c r="H16" s="28">
        <v>0</v>
      </c>
      <c r="I16" s="28">
        <v>0</v>
      </c>
      <c r="J16" s="112">
        <v>138.46</v>
      </c>
      <c r="K16" s="28">
        <f t="shared" si="1"/>
        <v>7.4823053589484223</v>
      </c>
      <c r="L16" s="28" t="s">
        <v>79</v>
      </c>
      <c r="M16" s="28"/>
      <c r="N16" s="28">
        <f t="shared" si="2"/>
        <v>9804.7785243918843</v>
      </c>
      <c r="O16" s="28">
        <f t="shared" si="3"/>
        <v>10.359999999999985</v>
      </c>
      <c r="P16" s="28">
        <v>9.82</v>
      </c>
      <c r="Q16" s="28">
        <v>15.35</v>
      </c>
      <c r="R16" s="28">
        <v>16.05</v>
      </c>
      <c r="S16" s="28">
        <v>16.05</v>
      </c>
      <c r="T16" s="28">
        <v>15.15</v>
      </c>
      <c r="U16" s="28">
        <v>8.1300000000000008</v>
      </c>
      <c r="V16" s="28">
        <f t="shared" si="4"/>
        <v>80.55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166180</v>
      </c>
      <c r="C17" s="28">
        <v>10515.93</v>
      </c>
      <c r="D17" s="28">
        <v>0</v>
      </c>
      <c r="E17" s="28">
        <v>73.87</v>
      </c>
      <c r="F17" s="28">
        <v>74.55</v>
      </c>
      <c r="G17" s="28">
        <f t="shared" si="0"/>
        <v>148.42000000000002</v>
      </c>
      <c r="H17" s="28">
        <v>0</v>
      </c>
      <c r="I17" s="28">
        <v>0</v>
      </c>
      <c r="J17" s="112">
        <v>130.6</v>
      </c>
      <c r="K17" s="28">
        <f t="shared" si="1"/>
        <v>13.644716692189911</v>
      </c>
      <c r="L17" s="28" t="s">
        <v>79</v>
      </c>
      <c r="M17" s="28"/>
      <c r="N17" s="28">
        <f t="shared" si="2"/>
        <v>9795.8081660153584</v>
      </c>
      <c r="O17" s="28">
        <f t="shared" si="3"/>
        <v>17.820000000000022</v>
      </c>
      <c r="P17" s="28">
        <v>9.8699999999999992</v>
      </c>
      <c r="Q17" s="28">
        <v>15.3</v>
      </c>
      <c r="R17" s="28">
        <v>16</v>
      </c>
      <c r="S17" s="28">
        <v>16</v>
      </c>
      <c r="T17" s="28">
        <v>15.1</v>
      </c>
      <c r="U17" s="28">
        <v>7.99</v>
      </c>
      <c r="V17" s="28">
        <f t="shared" si="4"/>
        <v>80.259999999999991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130950</v>
      </c>
      <c r="C18" s="28">
        <v>13505.35</v>
      </c>
      <c r="D18" s="28">
        <v>0</v>
      </c>
      <c r="E18" s="28">
        <v>57.41</v>
      </c>
      <c r="F18" s="28">
        <v>57.97</v>
      </c>
      <c r="G18" s="28">
        <f t="shared" si="0"/>
        <v>115.38</v>
      </c>
      <c r="H18" s="28">
        <v>0</v>
      </c>
      <c r="I18" s="28">
        <v>0</v>
      </c>
      <c r="J18" s="112">
        <v>100.6</v>
      </c>
      <c r="K18" s="28">
        <f t="shared" si="1"/>
        <v>14.691848906560637</v>
      </c>
      <c r="L18" s="28" t="s">
        <v>79</v>
      </c>
      <c r="M18" s="28"/>
      <c r="N18" s="28">
        <f t="shared" si="2"/>
        <v>10286.719500780033</v>
      </c>
      <c r="O18" s="28">
        <f t="shared" si="3"/>
        <v>14.780000000000001</v>
      </c>
      <c r="P18" s="28">
        <v>10.28</v>
      </c>
      <c r="Q18" s="28">
        <v>10.71</v>
      </c>
      <c r="R18" s="28">
        <v>12.03</v>
      </c>
      <c r="S18" s="28">
        <v>12.42</v>
      </c>
      <c r="T18" s="28">
        <v>15.3</v>
      </c>
      <c r="U18" s="28">
        <v>4.78</v>
      </c>
      <c r="V18" s="28">
        <f t="shared" si="4"/>
        <v>65.52000000000001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103270</v>
      </c>
      <c r="C19" s="28">
        <v>14787.779999999999</v>
      </c>
      <c r="D19" s="28">
        <v>0</v>
      </c>
      <c r="E19" s="28">
        <v>43.95</v>
      </c>
      <c r="F19" s="28">
        <v>44.37</v>
      </c>
      <c r="G19" s="28">
        <f t="shared" si="0"/>
        <v>88.32</v>
      </c>
      <c r="H19" s="28">
        <v>0</v>
      </c>
      <c r="I19" s="28">
        <v>0</v>
      </c>
      <c r="J19" s="112">
        <v>90</v>
      </c>
      <c r="K19" s="28">
        <f t="shared" si="1"/>
        <v>-1.8666666666666742</v>
      </c>
      <c r="L19" s="28"/>
      <c r="M19" s="28"/>
      <c r="N19" s="28">
        <f t="shared" si="2"/>
        <v>13518.415625000001</v>
      </c>
      <c r="O19" s="28" t="str">
        <f t="shared" si="3"/>
        <v/>
      </c>
      <c r="P19" s="28">
        <v>10.26</v>
      </c>
      <c r="Q19" s="28">
        <v>9.68</v>
      </c>
      <c r="R19" s="28">
        <v>12.02</v>
      </c>
      <c r="S19" s="28">
        <v>12.9</v>
      </c>
      <c r="T19" s="28">
        <v>20.92</v>
      </c>
      <c r="U19" s="28">
        <v>0.13</v>
      </c>
      <c r="V19" s="28">
        <f t="shared" si="4"/>
        <v>65.91</v>
      </c>
      <c r="W19" s="28">
        <f>16.2/6</f>
        <v>2.6999999999999997</v>
      </c>
      <c r="X19" s="28">
        <v>0</v>
      </c>
    </row>
    <row r="20" spans="1:26" ht="16.5" customHeight="1" x14ac:dyDescent="0.3">
      <c r="A20" s="30">
        <v>9</v>
      </c>
      <c r="B20" s="28">
        <v>107180</v>
      </c>
      <c r="C20" s="28">
        <v>11158.27</v>
      </c>
      <c r="D20" s="28">
        <v>0</v>
      </c>
      <c r="E20" s="28">
        <v>45.87</v>
      </c>
      <c r="F20" s="28">
        <v>46.3</v>
      </c>
      <c r="G20" s="28">
        <f t="shared" si="0"/>
        <v>92.169999999999987</v>
      </c>
      <c r="H20" s="28">
        <v>0</v>
      </c>
      <c r="I20" s="28">
        <v>0</v>
      </c>
      <c r="J20" s="112">
        <v>90</v>
      </c>
      <c r="K20" s="28">
        <f t="shared" si="1"/>
        <v>2.4111111111110972</v>
      </c>
      <c r="L20" s="28"/>
      <c r="M20" s="28"/>
      <c r="N20" s="28">
        <f t="shared" si="2"/>
        <v>11149.534599110344</v>
      </c>
      <c r="O20" s="28" t="str">
        <f t="shared" si="3"/>
        <v/>
      </c>
      <c r="P20" s="28">
        <v>10.27</v>
      </c>
      <c r="Q20" s="28">
        <v>7.42</v>
      </c>
      <c r="R20" s="28">
        <v>9.75</v>
      </c>
      <c r="S20" s="28">
        <v>10.63</v>
      </c>
      <c r="T20" s="28">
        <v>18.66</v>
      </c>
      <c r="U20" s="28">
        <v>0</v>
      </c>
      <c r="V20" s="28">
        <f t="shared" si="4"/>
        <v>56.730000000000004</v>
      </c>
      <c r="W20" s="28">
        <f>16.2/6</f>
        <v>2.6999999999999997</v>
      </c>
      <c r="X20" s="28">
        <v>0</v>
      </c>
    </row>
    <row r="21" spans="1:26" ht="16.5" x14ac:dyDescent="0.3">
      <c r="A21" s="30">
        <v>10</v>
      </c>
      <c r="B21" s="28">
        <v>106240</v>
      </c>
      <c r="C21" s="28">
        <v>11633.880000000001</v>
      </c>
      <c r="D21" s="28">
        <v>0</v>
      </c>
      <c r="E21" s="28">
        <v>45.49</v>
      </c>
      <c r="F21" s="28">
        <v>45.9</v>
      </c>
      <c r="G21" s="28">
        <f t="shared" si="0"/>
        <v>91.39</v>
      </c>
      <c r="H21" s="28">
        <v>0</v>
      </c>
      <c r="I21" s="28">
        <v>0</v>
      </c>
      <c r="J21" s="112">
        <v>90</v>
      </c>
      <c r="K21" s="28">
        <f t="shared" si="1"/>
        <v>1.5444444444444452</v>
      </c>
      <c r="L21" s="28"/>
      <c r="M21" s="28"/>
      <c r="N21" s="28">
        <f t="shared" si="2"/>
        <v>11080.17638691323</v>
      </c>
      <c r="O21" s="28" t="str">
        <f t="shared" si="3"/>
        <v/>
      </c>
      <c r="P21" s="28">
        <v>10.35</v>
      </c>
      <c r="Q21" s="28">
        <v>6.7</v>
      </c>
      <c r="R21" s="28">
        <v>9.65</v>
      </c>
      <c r="S21" s="28">
        <v>9.94</v>
      </c>
      <c r="T21" s="28">
        <v>17.239999999999998</v>
      </c>
      <c r="U21" s="28">
        <v>2.02</v>
      </c>
      <c r="V21" s="28">
        <f t="shared" si="4"/>
        <v>55.9</v>
      </c>
      <c r="W21" s="28">
        <f>16.2/6</f>
        <v>2.6999999999999997</v>
      </c>
      <c r="X21" s="28">
        <v>0</v>
      </c>
    </row>
    <row r="22" spans="1:26" ht="16.5" x14ac:dyDescent="0.3">
      <c r="A22" s="30">
        <v>11</v>
      </c>
      <c r="B22" s="28">
        <v>106150</v>
      </c>
      <c r="C22" s="28">
        <v>13803.68</v>
      </c>
      <c r="D22" s="28">
        <v>0</v>
      </c>
      <c r="E22" s="28">
        <v>45.51</v>
      </c>
      <c r="F22" s="28">
        <v>45.93</v>
      </c>
      <c r="G22" s="28">
        <f t="shared" si="0"/>
        <v>91.44</v>
      </c>
      <c r="H22" s="28">
        <v>0</v>
      </c>
      <c r="I22" s="28">
        <v>0</v>
      </c>
      <c r="J22" s="112">
        <v>90</v>
      </c>
      <c r="K22" s="28">
        <f t="shared" si="1"/>
        <v>1.5999999999999974</v>
      </c>
      <c r="L22" s="28"/>
      <c r="M22" s="28"/>
      <c r="N22" s="28">
        <f t="shared" si="2"/>
        <v>11569.382327209099</v>
      </c>
      <c r="O22" s="28" t="str">
        <f t="shared" si="3"/>
        <v/>
      </c>
      <c r="P22" s="28">
        <v>10.3</v>
      </c>
      <c r="Q22" s="28">
        <v>6.94</v>
      </c>
      <c r="R22" s="28">
        <v>10.29</v>
      </c>
      <c r="S22" s="28">
        <v>10.16</v>
      </c>
      <c r="T22" s="28">
        <v>16.98</v>
      </c>
      <c r="U22" s="28">
        <v>3.73</v>
      </c>
      <c r="V22" s="28">
        <f t="shared" si="4"/>
        <v>58.4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106210</v>
      </c>
      <c r="C23" s="28">
        <v>15171.09</v>
      </c>
      <c r="D23" s="28">
        <v>0</v>
      </c>
      <c r="E23" s="28">
        <v>45.4</v>
      </c>
      <c r="F23" s="28">
        <v>45.84</v>
      </c>
      <c r="G23" s="28">
        <f t="shared" si="0"/>
        <v>91.240000000000009</v>
      </c>
      <c r="H23" s="28">
        <v>0</v>
      </c>
      <c r="I23" s="28">
        <v>0</v>
      </c>
      <c r="J23" s="112">
        <v>90</v>
      </c>
      <c r="K23" s="28">
        <f t="shared" si="1"/>
        <v>1.377777777777788</v>
      </c>
      <c r="L23" s="28"/>
      <c r="M23" s="28"/>
      <c r="N23" s="28">
        <f t="shared" si="2"/>
        <v>11086.479964927665</v>
      </c>
      <c r="O23" s="28" t="str">
        <f t="shared" si="3"/>
        <v/>
      </c>
      <c r="P23" s="28">
        <v>10.19</v>
      </c>
      <c r="Q23" s="28">
        <v>6.85</v>
      </c>
      <c r="R23" s="28">
        <v>10.199999999999999</v>
      </c>
      <c r="S23" s="28">
        <v>10.07</v>
      </c>
      <c r="T23" s="28">
        <v>16.89</v>
      </c>
      <c r="U23" s="28">
        <v>1.64</v>
      </c>
      <c r="V23" s="28">
        <f t="shared" si="4"/>
        <v>55.84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106100</v>
      </c>
      <c r="C24" s="28">
        <v>16523.439999999999</v>
      </c>
      <c r="D24" s="28">
        <v>0</v>
      </c>
      <c r="E24" s="28">
        <v>45.36</v>
      </c>
      <c r="F24" s="28">
        <v>45.82</v>
      </c>
      <c r="G24" s="28">
        <f t="shared" si="0"/>
        <v>91.18</v>
      </c>
      <c r="H24" s="28">
        <v>0</v>
      </c>
      <c r="I24" s="28">
        <v>0</v>
      </c>
      <c r="J24" s="112">
        <v>90</v>
      </c>
      <c r="K24" s="28">
        <f t="shared" si="1"/>
        <v>1.3111111111111187</v>
      </c>
      <c r="L24" s="28"/>
      <c r="M24" s="28"/>
      <c r="N24" s="28">
        <f t="shared" si="2"/>
        <v>11103.70883965782</v>
      </c>
      <c r="O24" s="28" t="str">
        <f t="shared" si="3"/>
        <v/>
      </c>
      <c r="P24" s="28">
        <v>10.24</v>
      </c>
      <c r="Q24" s="28">
        <v>6.85</v>
      </c>
      <c r="R24" s="28">
        <v>10.199999999999999</v>
      </c>
      <c r="S24" s="28">
        <v>10.11</v>
      </c>
      <c r="T24" s="28">
        <v>16.89</v>
      </c>
      <c r="U24" s="28">
        <v>1.6</v>
      </c>
      <c r="V24" s="28">
        <f t="shared" si="4"/>
        <v>55.89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106820</v>
      </c>
      <c r="C25" s="28">
        <v>18903.02</v>
      </c>
      <c r="D25" s="28">
        <v>0</v>
      </c>
      <c r="E25" s="28">
        <v>45.8</v>
      </c>
      <c r="F25" s="28">
        <v>46.27</v>
      </c>
      <c r="G25" s="28">
        <f t="shared" si="0"/>
        <v>92.07</v>
      </c>
      <c r="H25" s="28">
        <v>0</v>
      </c>
      <c r="I25" s="28">
        <v>0</v>
      </c>
      <c r="J25" s="112">
        <v>90</v>
      </c>
      <c r="K25" s="28">
        <f t="shared" si="1"/>
        <v>2.2999999999999923</v>
      </c>
      <c r="L25" s="28"/>
      <c r="M25" s="28"/>
      <c r="N25" s="28">
        <f t="shared" si="2"/>
        <v>11008.179211469536</v>
      </c>
      <c r="O25" s="28" t="str">
        <f t="shared" si="3"/>
        <v/>
      </c>
      <c r="P25" s="28">
        <v>10.3</v>
      </c>
      <c r="Q25" s="28">
        <v>6.86</v>
      </c>
      <c r="R25" s="28">
        <v>10.199999999999999</v>
      </c>
      <c r="S25" s="28">
        <v>10.1</v>
      </c>
      <c r="T25" s="28">
        <v>16.89</v>
      </c>
      <c r="U25" s="28">
        <v>1.6</v>
      </c>
      <c r="V25" s="28">
        <f t="shared" si="4"/>
        <v>55.95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107130</v>
      </c>
      <c r="C26" s="28">
        <v>3849.9799999999996</v>
      </c>
      <c r="D26" s="28">
        <v>94.240000000000009</v>
      </c>
      <c r="E26" s="28">
        <v>45.93</v>
      </c>
      <c r="F26" s="28">
        <v>46.4</v>
      </c>
      <c r="G26" s="28">
        <f t="shared" si="0"/>
        <v>92.33</v>
      </c>
      <c r="H26" s="28">
        <v>0</v>
      </c>
      <c r="I26" s="28">
        <v>0</v>
      </c>
      <c r="J26" s="112">
        <v>90</v>
      </c>
      <c r="K26" s="28">
        <f t="shared" si="1"/>
        <v>2.5888888888888868</v>
      </c>
      <c r="L26" s="28"/>
      <c r="M26" s="28"/>
      <c r="N26" s="28">
        <f t="shared" si="2"/>
        <v>11028.191357088705</v>
      </c>
      <c r="O26" s="28" t="str">
        <f t="shared" si="3"/>
        <v/>
      </c>
      <c r="P26" s="28">
        <v>10.57</v>
      </c>
      <c r="Q26" s="28">
        <v>6.86</v>
      </c>
      <c r="R26" s="28">
        <v>10.199999999999999</v>
      </c>
      <c r="S26" s="28">
        <v>10.11</v>
      </c>
      <c r="T26" s="28">
        <v>16.89</v>
      </c>
      <c r="U26" s="28">
        <v>1.58</v>
      </c>
      <c r="V26" s="28">
        <f t="shared" si="4"/>
        <v>56.209999999999994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108390</v>
      </c>
      <c r="C27" s="28">
        <v>1632.29</v>
      </c>
      <c r="D27" s="28">
        <v>667.39</v>
      </c>
      <c r="E27" s="28">
        <v>46.53</v>
      </c>
      <c r="F27" s="28">
        <v>46.98</v>
      </c>
      <c r="G27" s="28">
        <f t="shared" si="0"/>
        <v>93.509999999999991</v>
      </c>
      <c r="H27" s="28">
        <v>0</v>
      </c>
      <c r="I27" s="28">
        <v>0</v>
      </c>
      <c r="J27" s="112">
        <v>90</v>
      </c>
      <c r="K27" s="28">
        <f t="shared" si="1"/>
        <v>3.8999999999999897</v>
      </c>
      <c r="L27" s="28"/>
      <c r="M27" s="28"/>
      <c r="N27" s="28">
        <f t="shared" si="2"/>
        <v>10931.645428296442</v>
      </c>
      <c r="O27" s="28" t="str">
        <f t="shared" si="3"/>
        <v/>
      </c>
      <c r="P27" s="28">
        <v>10.56</v>
      </c>
      <c r="Q27" s="28">
        <v>7.49</v>
      </c>
      <c r="R27" s="28">
        <v>10.83</v>
      </c>
      <c r="S27" s="28">
        <v>2.89</v>
      </c>
      <c r="T27" s="28">
        <v>17.52</v>
      </c>
      <c r="U27" s="28">
        <v>7.14</v>
      </c>
      <c r="V27" s="28">
        <f t="shared" si="4"/>
        <v>56.430000000000007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127360</v>
      </c>
      <c r="C28" s="28">
        <v>12.59</v>
      </c>
      <c r="D28" s="28">
        <v>3634.06</v>
      </c>
      <c r="E28" s="28">
        <v>55.58</v>
      </c>
      <c r="F28" s="28">
        <v>56.1</v>
      </c>
      <c r="G28" s="28">
        <f t="shared" si="0"/>
        <v>111.68</v>
      </c>
      <c r="H28" s="28">
        <v>0</v>
      </c>
      <c r="I28" s="28">
        <v>0</v>
      </c>
      <c r="J28" s="112">
        <v>109</v>
      </c>
      <c r="K28" s="28">
        <f t="shared" si="1"/>
        <v>2.4587155963302814</v>
      </c>
      <c r="L28" s="28"/>
      <c r="M28" s="28"/>
      <c r="N28" s="28">
        <f t="shared" si="2"/>
        <v>10617.790186246417</v>
      </c>
      <c r="O28" s="28" t="str">
        <f t="shared" si="3"/>
        <v/>
      </c>
      <c r="P28" s="28">
        <v>10.6</v>
      </c>
      <c r="Q28" s="28">
        <v>10.59</v>
      </c>
      <c r="R28" s="28">
        <v>12.95</v>
      </c>
      <c r="S28" s="28">
        <v>7.74</v>
      </c>
      <c r="T28" s="28">
        <v>13.95</v>
      </c>
      <c r="U28" s="28">
        <v>9.6300000000000008</v>
      </c>
      <c r="V28" s="28">
        <f t="shared" si="4"/>
        <v>65.459999999999994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153220</v>
      </c>
      <c r="C29" s="28">
        <v>0</v>
      </c>
      <c r="D29" s="28">
        <v>9995.73</v>
      </c>
      <c r="E29" s="28">
        <v>67.69</v>
      </c>
      <c r="F29" s="28">
        <v>68.31</v>
      </c>
      <c r="G29" s="28">
        <f t="shared" si="0"/>
        <v>136</v>
      </c>
      <c r="H29" s="28">
        <v>0</v>
      </c>
      <c r="I29" s="28">
        <v>0</v>
      </c>
      <c r="J29" s="112">
        <v>134</v>
      </c>
      <c r="K29" s="28">
        <f t="shared" si="1"/>
        <v>1.4925373134328359</v>
      </c>
      <c r="L29" s="28"/>
      <c r="M29" s="28"/>
      <c r="N29" s="28">
        <f t="shared" si="2"/>
        <v>9951.152264705881</v>
      </c>
      <c r="O29" s="28" t="str">
        <f t="shared" si="3"/>
        <v/>
      </c>
      <c r="P29" s="28">
        <v>10.52</v>
      </c>
      <c r="Q29" s="28">
        <v>13.26</v>
      </c>
      <c r="R29" s="28">
        <v>14.6</v>
      </c>
      <c r="S29" s="28">
        <v>12.58</v>
      </c>
      <c r="T29" s="28">
        <v>14.31</v>
      </c>
      <c r="U29" s="28">
        <v>9.44</v>
      </c>
      <c r="V29" s="28">
        <f t="shared" si="4"/>
        <v>74.709999999999994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177130</v>
      </c>
      <c r="C30" s="28">
        <v>0</v>
      </c>
      <c r="D30" s="28">
        <v>15511.29</v>
      </c>
      <c r="E30" s="28">
        <v>78.91</v>
      </c>
      <c r="F30" s="28">
        <v>79.63</v>
      </c>
      <c r="G30" s="28">
        <f t="shared" si="0"/>
        <v>158.54</v>
      </c>
      <c r="H30" s="28">
        <v>0</v>
      </c>
      <c r="I30" s="28">
        <v>0</v>
      </c>
      <c r="J30" s="112">
        <v>164</v>
      </c>
      <c r="K30" s="28">
        <f t="shared" si="1"/>
        <v>-3.3292682926829316</v>
      </c>
      <c r="L30" s="28"/>
      <c r="M30" s="28"/>
      <c r="N30" s="28">
        <f t="shared" si="2"/>
        <v>9535.0073167654864</v>
      </c>
      <c r="O30" s="28" t="str">
        <f t="shared" si="3"/>
        <v/>
      </c>
      <c r="P30" s="28">
        <v>9.8800000000000008</v>
      </c>
      <c r="Q30" s="28">
        <v>15.42</v>
      </c>
      <c r="R30" s="28">
        <v>16.75</v>
      </c>
      <c r="S30" s="28">
        <v>15.07</v>
      </c>
      <c r="T30" s="28">
        <v>16.46</v>
      </c>
      <c r="U30" s="28">
        <v>9.8699999999999992</v>
      </c>
      <c r="V30" s="28">
        <f t="shared" si="4"/>
        <v>83.45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177340</v>
      </c>
      <c r="C31" s="28">
        <v>0</v>
      </c>
      <c r="D31" s="28">
        <v>18068.919999999998</v>
      </c>
      <c r="E31" s="28">
        <v>79.010000000000005</v>
      </c>
      <c r="F31" s="28">
        <v>79.739999999999995</v>
      </c>
      <c r="G31" s="28">
        <f t="shared" si="0"/>
        <v>158.75</v>
      </c>
      <c r="H31" s="28">
        <v>0</v>
      </c>
      <c r="I31" s="28">
        <v>0</v>
      </c>
      <c r="J31" s="112">
        <v>164</v>
      </c>
      <c r="K31" s="28">
        <f t="shared" si="1"/>
        <v>-3.2012195121951219</v>
      </c>
      <c r="L31" s="28"/>
      <c r="M31" s="28"/>
      <c r="N31" s="28">
        <f t="shared" si="2"/>
        <v>9496.1490141732302</v>
      </c>
      <c r="O31" s="28" t="str">
        <f t="shared" si="3"/>
        <v/>
      </c>
      <c r="P31" s="28">
        <v>9.6</v>
      </c>
      <c r="Q31" s="28">
        <v>15.33</v>
      </c>
      <c r="R31" s="28">
        <v>16.68</v>
      </c>
      <c r="S31" s="28">
        <v>15.49</v>
      </c>
      <c r="T31" s="28">
        <v>16.38</v>
      </c>
      <c r="U31" s="28">
        <v>9.74</v>
      </c>
      <c r="V31" s="28">
        <f t="shared" si="4"/>
        <v>83.22</v>
      </c>
      <c r="W31" s="28">
        <f>16.2/6</f>
        <v>2.6999999999999997</v>
      </c>
      <c r="X31" s="28">
        <v>0</v>
      </c>
    </row>
    <row r="32" spans="1:26" s="32" customFormat="1" ht="16.5" x14ac:dyDescent="0.3">
      <c r="A32" s="31">
        <v>21</v>
      </c>
      <c r="B32" s="28">
        <v>177940</v>
      </c>
      <c r="C32" s="28">
        <v>0</v>
      </c>
      <c r="D32" s="28">
        <v>19288.239999999998</v>
      </c>
      <c r="E32" s="28">
        <v>79.22</v>
      </c>
      <c r="F32" s="28">
        <v>79.930000000000007</v>
      </c>
      <c r="G32" s="28">
        <f t="shared" si="0"/>
        <v>159.15</v>
      </c>
      <c r="H32" s="28">
        <v>0</v>
      </c>
      <c r="I32" s="28">
        <v>0</v>
      </c>
      <c r="J32" s="112">
        <v>164</v>
      </c>
      <c r="K32" s="28">
        <f t="shared" si="1"/>
        <v>-2.9573170731707283</v>
      </c>
      <c r="L32" s="28"/>
      <c r="M32" s="28"/>
      <c r="N32" s="28">
        <f t="shared" si="2"/>
        <v>9483.6640653471568</v>
      </c>
      <c r="O32" s="28" t="str">
        <f t="shared" si="3"/>
        <v/>
      </c>
      <c r="P32" s="28">
        <v>9.58</v>
      </c>
      <c r="Q32" s="28">
        <v>15.36</v>
      </c>
      <c r="R32" s="28">
        <v>16.7</v>
      </c>
      <c r="S32" s="28">
        <v>15.51</v>
      </c>
      <c r="T32" s="28">
        <v>16.399999999999999</v>
      </c>
      <c r="U32" s="28">
        <v>9.77</v>
      </c>
      <c r="V32" s="28">
        <f t="shared" si="4"/>
        <v>83.32</v>
      </c>
      <c r="W32" s="28">
        <f>16.2/6</f>
        <v>2.6999999999999997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178410</v>
      </c>
      <c r="C33" s="28">
        <v>0</v>
      </c>
      <c r="D33" s="28">
        <v>18448.739999999998</v>
      </c>
      <c r="E33" s="28">
        <v>79.53</v>
      </c>
      <c r="F33" s="28">
        <v>80.23</v>
      </c>
      <c r="G33" s="28">
        <f t="shared" si="0"/>
        <v>159.76</v>
      </c>
      <c r="H33" s="28">
        <v>0</v>
      </c>
      <c r="I33" s="28">
        <v>0</v>
      </c>
      <c r="J33" s="112">
        <v>164</v>
      </c>
      <c r="K33" s="28">
        <f t="shared" si="1"/>
        <v>-2.585365853658542</v>
      </c>
      <c r="L33" s="28"/>
      <c r="M33" s="28"/>
      <c r="N33" s="28">
        <f t="shared" si="2"/>
        <v>9453.1226589884809</v>
      </c>
      <c r="O33" s="28" t="str">
        <f t="shared" si="3"/>
        <v/>
      </c>
      <c r="P33" s="28">
        <v>9.57</v>
      </c>
      <c r="Q33" s="28">
        <v>15.37</v>
      </c>
      <c r="R33" s="28">
        <v>16.690000000000001</v>
      </c>
      <c r="S33" s="28">
        <v>15.5</v>
      </c>
      <c r="T33" s="28">
        <v>16.39</v>
      </c>
      <c r="U33" s="28">
        <v>9.85</v>
      </c>
      <c r="V33" s="28">
        <f t="shared" si="4"/>
        <v>83.36999999999999</v>
      </c>
      <c r="W33" s="28">
        <f>16.2/6</f>
        <v>2.6999999999999997</v>
      </c>
      <c r="X33" s="28">
        <v>0</v>
      </c>
    </row>
    <row r="34" spans="1:26" ht="16.5" x14ac:dyDescent="0.3">
      <c r="A34" s="30">
        <v>23</v>
      </c>
      <c r="B34" s="28">
        <v>178890</v>
      </c>
      <c r="C34" s="28">
        <v>0</v>
      </c>
      <c r="D34" s="28">
        <v>17794.04</v>
      </c>
      <c r="E34" s="28">
        <v>79.86</v>
      </c>
      <c r="F34" s="28">
        <v>80.55</v>
      </c>
      <c r="G34" s="28">
        <f t="shared" si="0"/>
        <v>160.41</v>
      </c>
      <c r="H34" s="28">
        <v>0</v>
      </c>
      <c r="I34" s="28">
        <v>0</v>
      </c>
      <c r="J34" s="112">
        <v>164</v>
      </c>
      <c r="K34" s="28">
        <f t="shared" si="1"/>
        <v>-2.1890243902439046</v>
      </c>
      <c r="L34" s="28"/>
      <c r="M34" s="28"/>
      <c r="N34" s="28">
        <f t="shared" si="2"/>
        <v>9353.836319431457</v>
      </c>
      <c r="O34" s="28" t="str">
        <f t="shared" si="3"/>
        <v/>
      </c>
      <c r="P34" s="28">
        <v>9.42</v>
      </c>
      <c r="Q34" s="28">
        <v>15.26</v>
      </c>
      <c r="R34" s="28">
        <v>16.600000000000001</v>
      </c>
      <c r="S34" s="28">
        <v>15.4</v>
      </c>
      <c r="T34" s="28">
        <v>16.3</v>
      </c>
      <c r="U34" s="28">
        <v>9.85</v>
      </c>
      <c r="V34" s="28">
        <f t="shared" si="4"/>
        <v>82.83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178310</v>
      </c>
      <c r="C35" s="28">
        <v>0</v>
      </c>
      <c r="D35" s="28">
        <v>13964.56</v>
      </c>
      <c r="E35" s="28">
        <v>79.69</v>
      </c>
      <c r="F35" s="28">
        <v>80.400000000000006</v>
      </c>
      <c r="G35" s="28">
        <f t="shared" si="0"/>
        <v>160.09</v>
      </c>
      <c r="H35" s="28">
        <v>0</v>
      </c>
      <c r="I35" s="28">
        <v>0</v>
      </c>
      <c r="J35" s="112">
        <v>164</v>
      </c>
      <c r="K35" s="28">
        <f t="shared" si="1"/>
        <v>-2.3841463414634125</v>
      </c>
      <c r="L35" s="28"/>
      <c r="M35" s="28"/>
      <c r="N35" s="28">
        <f t="shared" si="2"/>
        <v>9322.7457804984679</v>
      </c>
      <c r="O35" s="28" t="str">
        <f t="shared" si="3"/>
        <v/>
      </c>
      <c r="P35" s="28">
        <v>9.34</v>
      </c>
      <c r="Q35" s="28">
        <v>15.18</v>
      </c>
      <c r="R35" s="28">
        <v>16.5</v>
      </c>
      <c r="S35" s="28">
        <v>15.31</v>
      </c>
      <c r="T35" s="28">
        <v>16.21</v>
      </c>
      <c r="U35" s="28">
        <v>9.85</v>
      </c>
      <c r="V35" s="28">
        <f t="shared" si="4"/>
        <v>82.389999999999986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 t="shared" ref="B36:J36" si="5">SUM(B12:B35)</f>
        <v>3413240</v>
      </c>
      <c r="C36" s="35">
        <f t="shared" si="5"/>
        <v>143444.46000000002</v>
      </c>
      <c r="D36" s="35">
        <f t="shared" si="5"/>
        <v>169174.33</v>
      </c>
      <c r="E36" s="35">
        <f t="shared" si="5"/>
        <v>1500.74</v>
      </c>
      <c r="F36" s="35">
        <f t="shared" si="5"/>
        <v>1514.5600000000002</v>
      </c>
      <c r="G36" s="35">
        <f t="shared" si="5"/>
        <v>3015.3</v>
      </c>
      <c r="H36" s="35">
        <f t="shared" si="5"/>
        <v>0</v>
      </c>
      <c r="I36" s="35">
        <f t="shared" si="5"/>
        <v>0</v>
      </c>
      <c r="J36" s="35">
        <f t="shared" si="5"/>
        <v>3002.12</v>
      </c>
      <c r="K36" s="36"/>
      <c r="L36" s="37"/>
      <c r="M36" s="38"/>
      <c r="N36" s="35">
        <f>IFERROR(AVERAGE(N12:N35),"")</f>
        <v>10414.225537622386</v>
      </c>
      <c r="O36" s="39">
        <f t="shared" ref="O36" si="6">SUM(O12:O35)</f>
        <v>20.180000000000007</v>
      </c>
      <c r="P36" s="39">
        <f>SUM(P12:P35)</f>
        <v>241.52999999999997</v>
      </c>
      <c r="Q36" s="39">
        <f t="shared" ref="Q36:U36" si="7">SUM(Q12:Q35)</f>
        <v>283.47000000000003</v>
      </c>
      <c r="R36" s="39">
        <f t="shared" si="7"/>
        <v>328.38999999999993</v>
      </c>
      <c r="S36" s="39">
        <f t="shared" si="7"/>
        <v>307.46999999999997</v>
      </c>
      <c r="T36" s="39">
        <f t="shared" si="7"/>
        <v>390.70999999999987</v>
      </c>
      <c r="U36" s="39">
        <f t="shared" si="7"/>
        <v>150.82</v>
      </c>
      <c r="V36" s="39">
        <f>SUM(V12:V35)</f>
        <v>1702.3899999999999</v>
      </c>
      <c r="W36" s="40">
        <f>SUM(W12:W35)</f>
        <v>16.2</v>
      </c>
      <c r="X36" s="40">
        <f>SUM(X12:X35)</f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+X39+X36</f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0</v>
      </c>
      <c r="J41" s="41"/>
      <c r="K41" s="13" t="s">
        <v>59</v>
      </c>
      <c r="L41" s="113">
        <v>397037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1</v>
      </c>
      <c r="B42" s="57">
        <v>0</v>
      </c>
      <c r="C42" s="57">
        <v>0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172954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>
        <f>IFERROR(3412.14/N36,"")</f>
        <v>0.32764222242674867</v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3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José Leal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699.83</v>
      </c>
      <c r="D58" s="81">
        <v>199.74</v>
      </c>
      <c r="E58" s="82">
        <v>0</v>
      </c>
      <c r="F58" s="83">
        <v>7299.7</v>
      </c>
      <c r="G58" s="82">
        <v>0</v>
      </c>
      <c r="H58" s="84">
        <f t="shared" ref="H58:H81" si="8">IF(G58=0,0,100*(E58-G58)/G58)</f>
        <v>0</v>
      </c>
      <c r="I58" s="85"/>
      <c r="J58" s="85"/>
      <c r="K58" s="86" t="str">
        <f t="shared" ref="K58:K81" si="9">IFERROR(U58*1000*2.2*$K$92/E58/1000,"")</f>
        <v/>
      </c>
      <c r="L58" s="87" t="str">
        <f t="shared" ref="L58:L81" si="10">IF(OR(H58&gt;5,H58&lt;-5),E58-G58,"")</f>
        <v/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0</v>
      </c>
      <c r="D59" s="81">
        <v>361.58</v>
      </c>
      <c r="E59" s="82">
        <v>0</v>
      </c>
      <c r="F59" s="82">
        <v>8626.19</v>
      </c>
      <c r="G59" s="82">
        <v>0</v>
      </c>
      <c r="H59" s="91">
        <f t="shared" si="8"/>
        <v>0</v>
      </c>
      <c r="I59" s="85"/>
      <c r="J59" s="85"/>
      <c r="K59" s="86" t="str">
        <f t="shared" si="9"/>
        <v/>
      </c>
      <c r="L59" s="87" t="str">
        <f t="shared" si="10"/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11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1378.57</v>
      </c>
      <c r="D60" s="81">
        <v>63.85</v>
      </c>
      <c r="E60" s="82">
        <v>0</v>
      </c>
      <c r="F60" s="82">
        <v>6031.51</v>
      </c>
      <c r="G60" s="82">
        <v>0</v>
      </c>
      <c r="H60" s="91">
        <f t="shared" si="8"/>
        <v>0</v>
      </c>
      <c r="I60" s="85"/>
      <c r="J60" s="85"/>
      <c r="K60" s="86" t="str">
        <f t="shared" si="9"/>
        <v/>
      </c>
      <c r="L60" s="87" t="str">
        <f t="shared" si="10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11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934.79</v>
      </c>
      <c r="D61" s="81">
        <v>0</v>
      </c>
      <c r="E61" s="82">
        <v>0</v>
      </c>
      <c r="F61" s="82">
        <v>8076.68</v>
      </c>
      <c r="G61" s="82">
        <v>0</v>
      </c>
      <c r="H61" s="91">
        <f t="shared" si="8"/>
        <v>0</v>
      </c>
      <c r="I61" s="85"/>
      <c r="J61" s="85"/>
      <c r="K61" s="86" t="str">
        <f t="shared" si="9"/>
        <v/>
      </c>
      <c r="L61" s="87" t="str">
        <f t="shared" si="10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11"/>
        <v>0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1525.63</v>
      </c>
      <c r="D62" s="81">
        <v>0</v>
      </c>
      <c r="E62" s="82">
        <v>0</v>
      </c>
      <c r="F62" s="82">
        <v>5210.05</v>
      </c>
      <c r="G62" s="82">
        <v>0</v>
      </c>
      <c r="H62" s="91">
        <f t="shared" si="8"/>
        <v>0</v>
      </c>
      <c r="I62" s="85"/>
      <c r="J62" s="85"/>
      <c r="K62" s="86" t="str">
        <f t="shared" si="9"/>
        <v/>
      </c>
      <c r="L62" s="87" t="str">
        <f t="shared" si="10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11"/>
        <v>0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1578.28</v>
      </c>
      <c r="D63" s="81">
        <v>0</v>
      </c>
      <c r="E63" s="82">
        <v>0</v>
      </c>
      <c r="F63" s="82">
        <v>5180.83</v>
      </c>
      <c r="G63" s="82">
        <v>0</v>
      </c>
      <c r="H63" s="91">
        <f t="shared" si="8"/>
        <v>0</v>
      </c>
      <c r="I63" s="85"/>
      <c r="J63" s="85"/>
      <c r="K63" s="86" t="str">
        <f t="shared" si="9"/>
        <v/>
      </c>
      <c r="L63" s="87" t="str">
        <f t="shared" si="10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11"/>
        <v>0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1644.89</v>
      </c>
      <c r="D64" s="81">
        <v>0</v>
      </c>
      <c r="E64" s="82">
        <v>0</v>
      </c>
      <c r="F64" s="82">
        <v>5093.3</v>
      </c>
      <c r="G64" s="82">
        <v>0</v>
      </c>
      <c r="H64" s="91">
        <f t="shared" si="8"/>
        <v>0</v>
      </c>
      <c r="I64" s="85"/>
      <c r="J64" s="85"/>
      <c r="K64" s="86" t="str">
        <f t="shared" si="9"/>
        <v/>
      </c>
      <c r="L64" s="87" t="str">
        <f t="shared" si="10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11"/>
        <v>0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1522.94</v>
      </c>
      <c r="D65" s="81">
        <v>39.479999999999997</v>
      </c>
      <c r="E65" s="82">
        <v>0</v>
      </c>
      <c r="F65" s="82">
        <v>4906.67</v>
      </c>
      <c r="G65" s="82">
        <v>0</v>
      </c>
      <c r="H65" s="91">
        <f t="shared" si="8"/>
        <v>0</v>
      </c>
      <c r="I65" s="85"/>
      <c r="J65" s="85"/>
      <c r="K65" s="86" t="str">
        <f t="shared" si="9"/>
        <v/>
      </c>
      <c r="L65" s="87" t="str">
        <f t="shared" si="10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11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200.73</v>
      </c>
      <c r="D66" s="81">
        <v>234.05</v>
      </c>
      <c r="E66" s="82">
        <v>0</v>
      </c>
      <c r="F66" s="82">
        <v>7137.86</v>
      </c>
      <c r="G66" s="82">
        <v>0</v>
      </c>
      <c r="H66" s="91">
        <f t="shared" si="8"/>
        <v>0</v>
      </c>
      <c r="I66" s="85"/>
      <c r="J66" s="85"/>
      <c r="K66" s="86" t="str">
        <f t="shared" si="9"/>
        <v/>
      </c>
      <c r="L66" s="87" t="str">
        <f t="shared" si="10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11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1563.13</v>
      </c>
      <c r="D67" s="81">
        <v>113.65</v>
      </c>
      <c r="E67" s="82">
        <v>0</v>
      </c>
      <c r="F67" s="82">
        <v>5419.98</v>
      </c>
      <c r="G67" s="82">
        <v>0</v>
      </c>
      <c r="H67" s="91">
        <f t="shared" si="8"/>
        <v>0</v>
      </c>
      <c r="I67" s="85"/>
      <c r="J67" s="85"/>
      <c r="K67" s="86" t="str">
        <f t="shared" si="9"/>
        <v/>
      </c>
      <c r="L67" s="87" t="str">
        <f t="shared" si="10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11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1594.09</v>
      </c>
      <c r="D68" s="81">
        <v>0</v>
      </c>
      <c r="E68" s="82">
        <v>0</v>
      </c>
      <c r="F68" s="82">
        <v>5222.01</v>
      </c>
      <c r="G68" s="82">
        <v>0</v>
      </c>
      <c r="H68" s="91">
        <f t="shared" si="8"/>
        <v>0</v>
      </c>
      <c r="I68" s="85"/>
      <c r="J68" s="85"/>
      <c r="K68" s="86" t="str">
        <f t="shared" si="9"/>
        <v/>
      </c>
      <c r="L68" s="87" t="str">
        <f t="shared" si="10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11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776.94</v>
      </c>
      <c r="D69" s="81">
        <v>0</v>
      </c>
      <c r="E69" s="82">
        <v>0</v>
      </c>
      <c r="F69" s="82">
        <v>5053.3900000000003</v>
      </c>
      <c r="G69" s="82">
        <v>0</v>
      </c>
      <c r="H69" s="91">
        <f t="shared" si="8"/>
        <v>0</v>
      </c>
      <c r="I69" s="85"/>
      <c r="J69" s="85"/>
      <c r="K69" s="86" t="str">
        <f t="shared" si="9"/>
        <v/>
      </c>
      <c r="L69" s="87" t="str">
        <f t="shared" si="10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11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727.27</v>
      </c>
      <c r="D70" s="81">
        <v>0</v>
      </c>
      <c r="E70" s="82">
        <v>0</v>
      </c>
      <c r="F70" s="82">
        <v>5099.2</v>
      </c>
      <c r="G70" s="82">
        <v>0</v>
      </c>
      <c r="H70" s="91">
        <f t="shared" si="8"/>
        <v>0</v>
      </c>
      <c r="I70" s="85"/>
      <c r="J70" s="85"/>
      <c r="K70" s="86" t="str">
        <f t="shared" si="9"/>
        <v/>
      </c>
      <c r="L70" s="87" t="str">
        <f t="shared" si="10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11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690.62</v>
      </c>
      <c r="D71" s="81">
        <v>0</v>
      </c>
      <c r="E71" s="82">
        <v>0</v>
      </c>
      <c r="F71" s="82">
        <v>5109.12</v>
      </c>
      <c r="G71" s="82">
        <v>0</v>
      </c>
      <c r="H71" s="91">
        <f t="shared" si="8"/>
        <v>0</v>
      </c>
      <c r="I71" s="85"/>
      <c r="J71" s="85"/>
      <c r="K71" s="86" t="str">
        <f t="shared" si="9"/>
        <v/>
      </c>
      <c r="L71" s="87" t="str">
        <f t="shared" si="10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11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691.43</v>
      </c>
      <c r="D72" s="81">
        <v>0.04</v>
      </c>
      <c r="E72" s="82">
        <v>0</v>
      </c>
      <c r="F72" s="82">
        <v>5240.57</v>
      </c>
      <c r="G72" s="82">
        <v>0</v>
      </c>
      <c r="H72" s="91">
        <f t="shared" si="8"/>
        <v>0</v>
      </c>
      <c r="I72" s="85"/>
      <c r="J72" s="85"/>
      <c r="K72" s="86" t="str">
        <f t="shared" si="9"/>
        <v/>
      </c>
      <c r="L72" s="87" t="str">
        <f t="shared" si="10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11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530.41</v>
      </c>
      <c r="D73" s="81">
        <v>0.19</v>
      </c>
      <c r="E73" s="82">
        <v>0</v>
      </c>
      <c r="F73" s="82">
        <v>5512.91</v>
      </c>
      <c r="G73" s="82">
        <v>0</v>
      </c>
      <c r="H73" s="91">
        <f t="shared" si="8"/>
        <v>0</v>
      </c>
      <c r="I73" s="85"/>
      <c r="J73" s="85"/>
      <c r="K73" s="86" t="str">
        <f t="shared" si="9"/>
        <v/>
      </c>
      <c r="L73" s="87" t="str">
        <f t="shared" si="10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11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281.43</v>
      </c>
      <c r="D74" s="81">
        <v>0.12</v>
      </c>
      <c r="E74" s="82">
        <v>0</v>
      </c>
      <c r="F74" s="82">
        <v>6618.03</v>
      </c>
      <c r="G74" s="82">
        <v>0</v>
      </c>
      <c r="H74" s="91">
        <f t="shared" si="8"/>
        <v>0</v>
      </c>
      <c r="I74" s="85"/>
      <c r="J74" s="85"/>
      <c r="K74" s="86" t="str">
        <f t="shared" si="9"/>
        <v/>
      </c>
      <c r="L74" s="87" t="str">
        <f t="shared" si="10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11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593.95000000000005</v>
      </c>
      <c r="D75" s="81">
        <v>0</v>
      </c>
      <c r="E75" s="82">
        <v>0</v>
      </c>
      <c r="F75" s="82">
        <v>5538.46</v>
      </c>
      <c r="G75" s="82">
        <v>0</v>
      </c>
      <c r="H75" s="91">
        <f t="shared" si="8"/>
        <v>0</v>
      </c>
      <c r="I75" s="85"/>
      <c r="J75" s="85"/>
      <c r="K75" s="86" t="str">
        <f t="shared" si="9"/>
        <v/>
      </c>
      <c r="L75" s="87" t="str">
        <f t="shared" si="10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11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751.71</v>
      </c>
      <c r="D76" s="81">
        <v>0</v>
      </c>
      <c r="E76" s="82">
        <v>0</v>
      </c>
      <c r="F76" s="82">
        <v>5205.05</v>
      </c>
      <c r="G76" s="82">
        <v>0</v>
      </c>
      <c r="H76" s="91">
        <f t="shared" si="8"/>
        <v>0</v>
      </c>
      <c r="I76" s="85"/>
      <c r="J76" s="85"/>
      <c r="K76" s="86" t="str">
        <f t="shared" si="9"/>
        <v/>
      </c>
      <c r="L76" s="87" t="str">
        <f t="shared" si="10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11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750.55</v>
      </c>
      <c r="D77" s="81">
        <v>0</v>
      </c>
      <c r="E77" s="82">
        <v>0</v>
      </c>
      <c r="F77" s="82">
        <v>5201.2</v>
      </c>
      <c r="G77" s="82">
        <v>0</v>
      </c>
      <c r="H77" s="91">
        <f t="shared" si="8"/>
        <v>0</v>
      </c>
      <c r="I77" s="85"/>
      <c r="J77" s="85"/>
      <c r="K77" s="86" t="str">
        <f t="shared" si="9"/>
        <v/>
      </c>
      <c r="L77" s="87" t="str">
        <f t="shared" si="10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11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807.51</v>
      </c>
      <c r="D78" s="81">
        <v>0</v>
      </c>
      <c r="E78" s="82">
        <v>0</v>
      </c>
      <c r="F78" s="82">
        <v>5086.3599999999997</v>
      </c>
      <c r="G78" s="82">
        <v>0</v>
      </c>
      <c r="H78" s="91">
        <f t="shared" si="8"/>
        <v>0</v>
      </c>
      <c r="I78" s="85"/>
      <c r="J78" s="85"/>
      <c r="K78" s="86" t="str">
        <f t="shared" si="9"/>
        <v/>
      </c>
      <c r="L78" s="87" t="str">
        <f t="shared" si="10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1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845.98</v>
      </c>
      <c r="D79" s="81">
        <v>0</v>
      </c>
      <c r="E79" s="82">
        <v>0</v>
      </c>
      <c r="F79" s="82">
        <v>5019.99</v>
      </c>
      <c r="G79" s="82">
        <v>0</v>
      </c>
      <c r="H79" s="91">
        <f t="shared" si="8"/>
        <v>0</v>
      </c>
      <c r="I79" s="85"/>
      <c r="J79" s="85"/>
      <c r="K79" s="86" t="str">
        <f t="shared" si="9"/>
        <v/>
      </c>
      <c r="L79" s="87" t="str">
        <f t="shared" si="10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1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754.22</v>
      </c>
      <c r="D80" s="81">
        <v>0.11</v>
      </c>
      <c r="E80" s="82">
        <v>0</v>
      </c>
      <c r="F80" s="82">
        <v>5346.54</v>
      </c>
      <c r="G80" s="82">
        <v>0</v>
      </c>
      <c r="H80" s="91">
        <f t="shared" si="8"/>
        <v>0</v>
      </c>
      <c r="I80" s="85"/>
      <c r="J80" s="85"/>
      <c r="K80" s="86" t="str">
        <f t="shared" si="9"/>
        <v/>
      </c>
      <c r="L80" s="87" t="str">
        <f t="shared" si="10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1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392.71</v>
      </c>
      <c r="D81" s="28">
        <v>0</v>
      </c>
      <c r="E81" s="96">
        <v>0</v>
      </c>
      <c r="F81" s="97">
        <v>6710.22</v>
      </c>
      <c r="G81" s="82">
        <v>0</v>
      </c>
      <c r="H81" s="98">
        <f t="shared" si="8"/>
        <v>0</v>
      </c>
      <c r="I81" s="85"/>
      <c r="J81" s="85"/>
      <c r="K81" s="99" t="str">
        <f t="shared" si="9"/>
        <v/>
      </c>
      <c r="L81" s="87" t="str">
        <f t="shared" si="10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1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2">SUM(B58:B81)</f>
        <v>0</v>
      </c>
      <c r="C82" s="35">
        <f t="shared" si="12"/>
        <v>21237.61</v>
      </c>
      <c r="D82" s="35">
        <f t="shared" si="12"/>
        <v>1012.8100000000001</v>
      </c>
      <c r="E82" s="35">
        <f t="shared" si="12"/>
        <v>0</v>
      </c>
      <c r="F82" s="101">
        <f t="shared" si="12"/>
        <v>138945.82</v>
      </c>
      <c r="G82" s="35">
        <f t="shared" si="12"/>
        <v>0</v>
      </c>
      <c r="H82" s="102"/>
      <c r="I82" s="103"/>
      <c r="J82" s="104"/>
      <c r="K82" s="105" t="str">
        <f>IFERROR(AVERAGE(K58:K81),"")</f>
        <v/>
      </c>
      <c r="L82" s="40">
        <f t="shared" ref="L82:U82" si="13">SUM(L58:L81)</f>
        <v>0</v>
      </c>
      <c r="M82" s="40">
        <f t="shared" si="13"/>
        <v>0</v>
      </c>
      <c r="N82" s="39">
        <f t="shared" si="13"/>
        <v>0</v>
      </c>
      <c r="O82" s="39">
        <f t="shared" si="13"/>
        <v>0</v>
      </c>
      <c r="P82" s="39">
        <f t="shared" si="13"/>
        <v>0</v>
      </c>
      <c r="Q82" s="39">
        <f t="shared" si="13"/>
        <v>0</v>
      </c>
      <c r="R82" s="39">
        <f t="shared" si="13"/>
        <v>0</v>
      </c>
      <c r="S82" s="39">
        <f t="shared" si="13"/>
        <v>0</v>
      </c>
      <c r="T82" s="39">
        <f t="shared" si="13"/>
        <v>0</v>
      </c>
      <c r="U82" s="39">
        <f t="shared" si="13"/>
        <v>0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138945.82</v>
      </c>
      <c r="J87" s="41"/>
      <c r="K87" s="62" t="s">
        <v>59</v>
      </c>
      <c r="L87" s="113">
        <v>3925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</v>
      </c>
      <c r="B88" s="57">
        <v>1</v>
      </c>
      <c r="C88" s="57">
        <v>0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7617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 t="str">
        <f>IFERROR(3412.14/K82,"")</f>
        <v/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A1:C1"/>
    <mergeCell ref="D1:U2"/>
    <mergeCell ref="V1:X4"/>
    <mergeCell ref="A2:C2"/>
    <mergeCell ref="A3:C3"/>
    <mergeCell ref="D3:U4"/>
    <mergeCell ref="A4:C4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39:A40"/>
    <mergeCell ref="B39:B40"/>
    <mergeCell ref="C39:C40"/>
    <mergeCell ref="D39:D40"/>
    <mergeCell ref="H39:I40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H41:H42"/>
    <mergeCell ref="I41:I42"/>
    <mergeCell ref="K44:L44"/>
    <mergeCell ref="C45:I46"/>
    <mergeCell ref="K45:L45"/>
    <mergeCell ref="K46:L4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A85:A86"/>
    <mergeCell ref="B85:B86"/>
    <mergeCell ref="C85:C86"/>
    <mergeCell ref="D85:D86"/>
    <mergeCell ref="H85:I86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K90:L90"/>
    <mergeCell ref="B91:B92"/>
    <mergeCell ref="C91:I92"/>
    <mergeCell ref="K91:L91"/>
    <mergeCell ref="K92:L9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F39CC-6527-46E3-AD54-A943886AE889}">
  <dimension ref="A1:Z109"/>
  <sheetViews>
    <sheetView topLeftCell="A54" zoomScale="90" zoomScaleNormal="90" workbookViewId="0">
      <selection activeCell="X40" sqref="X40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4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81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177640</v>
      </c>
      <c r="C12" s="28">
        <v>0</v>
      </c>
      <c r="D12" s="28">
        <v>8693.9700000000012</v>
      </c>
      <c r="E12" s="28">
        <v>79.37</v>
      </c>
      <c r="F12" s="28">
        <v>80.09</v>
      </c>
      <c r="G12" s="28">
        <f t="shared" ref="G12:G35" si="0">+E12+F12</f>
        <v>159.46</v>
      </c>
      <c r="H12" s="28">
        <v>0</v>
      </c>
      <c r="I12" s="28">
        <v>0</v>
      </c>
      <c r="J12" s="112">
        <v>164</v>
      </c>
      <c r="K12" s="28">
        <f t="shared" ref="K12:K35" si="1">IF(J12=0,0,100*(G12-J12)/J12)</f>
        <v>-2.7682926829268246</v>
      </c>
      <c r="L12" s="28"/>
      <c r="M12" s="28"/>
      <c r="N12" s="28">
        <f t="shared" ref="N12:N35" si="2">IFERROR(V12*1000*2.2*$K$46/G12/1000,"")</f>
        <v>9317.5460679794323</v>
      </c>
      <c r="O12" s="28" t="str">
        <f t="shared" ref="O12:O35" si="3">IF(OR(K12&gt;5,K12&lt;-5),G12-J12,"")</f>
        <v/>
      </c>
      <c r="P12" s="28">
        <v>9.33</v>
      </c>
      <c r="Q12" s="28">
        <v>15.09</v>
      </c>
      <c r="R12" s="28">
        <v>16.420000000000002</v>
      </c>
      <c r="S12" s="28">
        <v>15.22</v>
      </c>
      <c r="T12" s="28">
        <v>16.12</v>
      </c>
      <c r="U12" s="28">
        <v>9.84</v>
      </c>
      <c r="V12" s="28">
        <f t="shared" ref="V12:V35" si="4">+SUM(P12:U12)</f>
        <v>82.02000000000001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176450</v>
      </c>
      <c r="C13" s="28">
        <v>0</v>
      </c>
      <c r="D13" s="28">
        <v>11685.99</v>
      </c>
      <c r="E13" s="28">
        <v>78.77</v>
      </c>
      <c r="F13" s="28">
        <v>79.48</v>
      </c>
      <c r="G13" s="28">
        <f t="shared" si="0"/>
        <v>158.25</v>
      </c>
      <c r="H13" s="28">
        <v>0</v>
      </c>
      <c r="I13" s="28">
        <v>0</v>
      </c>
      <c r="J13" s="112">
        <v>164</v>
      </c>
      <c r="K13" s="28">
        <f t="shared" si="1"/>
        <v>-3.5060975609756095</v>
      </c>
      <c r="L13" s="28"/>
      <c r="M13" s="28"/>
      <c r="N13" s="28">
        <f t="shared" si="2"/>
        <v>9323.5416113744086</v>
      </c>
      <c r="O13" s="28" t="str">
        <f t="shared" si="3"/>
        <v/>
      </c>
      <c r="P13" s="28">
        <v>9.4</v>
      </c>
      <c r="Q13" s="28">
        <v>14.9</v>
      </c>
      <c r="R13" s="28">
        <v>16.25</v>
      </c>
      <c r="S13" s="28">
        <v>15.04</v>
      </c>
      <c r="T13" s="28">
        <v>15.94</v>
      </c>
      <c r="U13" s="28">
        <v>9.92</v>
      </c>
      <c r="V13" s="28">
        <f t="shared" si="4"/>
        <v>81.45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162880</v>
      </c>
      <c r="C14" s="28">
        <v>0</v>
      </c>
      <c r="D14" s="28">
        <v>10150.040000000001</v>
      </c>
      <c r="E14" s="28">
        <v>72.37</v>
      </c>
      <c r="F14" s="28">
        <v>73.03</v>
      </c>
      <c r="G14" s="28">
        <f t="shared" si="0"/>
        <v>145.4</v>
      </c>
      <c r="H14" s="28">
        <v>0</v>
      </c>
      <c r="I14" s="28">
        <v>0</v>
      </c>
      <c r="J14" s="112">
        <v>140</v>
      </c>
      <c r="K14" s="28">
        <f t="shared" si="1"/>
        <v>3.8571428571428612</v>
      </c>
      <c r="L14" s="28" t="s">
        <v>79</v>
      </c>
      <c r="M14" s="28"/>
      <c r="N14" s="28">
        <f t="shared" si="2"/>
        <v>9527.0891059147179</v>
      </c>
      <c r="O14" s="28" t="str">
        <f t="shared" si="3"/>
        <v/>
      </c>
      <c r="P14" s="28">
        <v>9.43</v>
      </c>
      <c r="Q14" s="28">
        <v>13.61</v>
      </c>
      <c r="R14" s="28">
        <v>14.95</v>
      </c>
      <c r="S14" s="28">
        <v>13.75</v>
      </c>
      <c r="T14" s="28">
        <v>14.64</v>
      </c>
      <c r="U14" s="28">
        <v>10.09</v>
      </c>
      <c r="V14" s="28">
        <f t="shared" si="4"/>
        <v>76.47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175910</v>
      </c>
      <c r="C15" s="28">
        <v>7666</v>
      </c>
      <c r="D15" s="28">
        <v>547.69000000000005</v>
      </c>
      <c r="E15" s="28">
        <v>78.55</v>
      </c>
      <c r="F15" s="28">
        <v>79.260000000000005</v>
      </c>
      <c r="G15" s="28">
        <f t="shared" si="0"/>
        <v>157.81</v>
      </c>
      <c r="H15" s="28">
        <v>0</v>
      </c>
      <c r="I15" s="28">
        <v>0</v>
      </c>
      <c r="J15" s="112">
        <v>138.35</v>
      </c>
      <c r="K15" s="28">
        <f t="shared" si="1"/>
        <v>14.065775207806295</v>
      </c>
      <c r="L15" s="28" t="s">
        <v>79</v>
      </c>
      <c r="M15" s="28"/>
      <c r="N15" s="28">
        <f t="shared" si="2"/>
        <v>9394.304746213802</v>
      </c>
      <c r="O15" s="28">
        <f t="shared" si="3"/>
        <v>19.460000000000008</v>
      </c>
      <c r="P15" s="28">
        <v>9.49</v>
      </c>
      <c r="Q15" s="28">
        <v>14.93</v>
      </c>
      <c r="R15" s="28">
        <v>16.25</v>
      </c>
      <c r="S15" s="28">
        <v>15.06</v>
      </c>
      <c r="T15" s="28">
        <v>15.96</v>
      </c>
      <c r="U15" s="28">
        <v>10.15</v>
      </c>
      <c r="V15" s="28">
        <f t="shared" si="4"/>
        <v>81.84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175510</v>
      </c>
      <c r="C16" s="28">
        <v>7037.1200000000008</v>
      </c>
      <c r="D16" s="28">
        <v>0</v>
      </c>
      <c r="E16" s="28">
        <v>78.400000000000006</v>
      </c>
      <c r="F16" s="28">
        <v>79.11</v>
      </c>
      <c r="G16" s="28">
        <f t="shared" si="0"/>
        <v>157.51</v>
      </c>
      <c r="H16" s="28">
        <v>0</v>
      </c>
      <c r="I16" s="28">
        <v>0</v>
      </c>
      <c r="J16" s="112">
        <v>123.44</v>
      </c>
      <c r="K16" s="28">
        <f t="shared" si="1"/>
        <v>27.600453661697983</v>
      </c>
      <c r="L16" s="28" t="s">
        <v>79</v>
      </c>
      <c r="M16" s="28"/>
      <c r="N16" s="28">
        <f t="shared" si="2"/>
        <v>9291.4398577868087</v>
      </c>
      <c r="O16" s="28">
        <f t="shared" si="3"/>
        <v>34.069999999999993</v>
      </c>
      <c r="P16" s="28">
        <v>9.5399999999999991</v>
      </c>
      <c r="Q16" s="28">
        <v>14.67</v>
      </c>
      <c r="R16" s="28">
        <v>16</v>
      </c>
      <c r="S16" s="28">
        <v>14.81</v>
      </c>
      <c r="T16" s="28">
        <v>15.71</v>
      </c>
      <c r="U16" s="28">
        <v>10.06</v>
      </c>
      <c r="V16" s="28">
        <f t="shared" si="4"/>
        <v>80.790000000000006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152300</v>
      </c>
      <c r="C17" s="28">
        <v>4570.29</v>
      </c>
      <c r="D17" s="28">
        <v>121.58</v>
      </c>
      <c r="E17" s="28">
        <v>67.650000000000006</v>
      </c>
      <c r="F17" s="28">
        <v>68.27</v>
      </c>
      <c r="G17" s="28">
        <f t="shared" si="0"/>
        <v>135.92000000000002</v>
      </c>
      <c r="H17" s="28">
        <v>0</v>
      </c>
      <c r="I17" s="28">
        <v>0</v>
      </c>
      <c r="J17" s="112">
        <v>112.16</v>
      </c>
      <c r="K17" s="28">
        <f t="shared" si="1"/>
        <v>21.184022824536392</v>
      </c>
      <c r="L17" s="28" t="s">
        <v>79</v>
      </c>
      <c r="M17" s="28"/>
      <c r="N17" s="28">
        <f t="shared" si="2"/>
        <v>9077.3913184226039</v>
      </c>
      <c r="O17" s="28">
        <f t="shared" si="3"/>
        <v>23.760000000000019</v>
      </c>
      <c r="P17" s="28">
        <v>9.67</v>
      </c>
      <c r="Q17" s="28">
        <v>11.47</v>
      </c>
      <c r="R17" s="28">
        <v>12.78</v>
      </c>
      <c r="S17" s="28">
        <v>11.59</v>
      </c>
      <c r="T17" s="28">
        <v>12.48</v>
      </c>
      <c r="U17" s="28">
        <v>10.119999999999999</v>
      </c>
      <c r="V17" s="28">
        <f t="shared" si="4"/>
        <v>68.110000000000014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112270</v>
      </c>
      <c r="C18" s="28">
        <v>9957.7000000000007</v>
      </c>
      <c r="D18" s="28">
        <v>0</v>
      </c>
      <c r="E18" s="28">
        <v>48.54</v>
      </c>
      <c r="F18" s="28">
        <v>49</v>
      </c>
      <c r="G18" s="28">
        <f t="shared" si="0"/>
        <v>97.539999999999992</v>
      </c>
      <c r="H18" s="28">
        <v>0</v>
      </c>
      <c r="I18" s="28">
        <v>0</v>
      </c>
      <c r="J18" s="112">
        <v>90</v>
      </c>
      <c r="K18" s="28">
        <f t="shared" si="1"/>
        <v>8.3777777777777693</v>
      </c>
      <c r="L18" s="28" t="s">
        <v>79</v>
      </c>
      <c r="M18" s="28"/>
      <c r="N18" s="28">
        <f t="shared" si="2"/>
        <v>10062.126963297111</v>
      </c>
      <c r="O18" s="28">
        <f t="shared" si="3"/>
        <v>7.539999999999992</v>
      </c>
      <c r="P18" s="28">
        <v>9.0299999999999994</v>
      </c>
      <c r="Q18" s="28">
        <v>8.34</v>
      </c>
      <c r="R18" s="28">
        <v>9.68</v>
      </c>
      <c r="S18" s="28">
        <v>8.5</v>
      </c>
      <c r="T18" s="28">
        <v>9.3699999999999992</v>
      </c>
      <c r="U18" s="28">
        <v>9.26</v>
      </c>
      <c r="V18" s="28">
        <f t="shared" si="4"/>
        <v>54.179999999999993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106810</v>
      </c>
      <c r="C19" s="28">
        <v>10230.810000000001</v>
      </c>
      <c r="D19" s="28">
        <v>0</v>
      </c>
      <c r="E19" s="28">
        <v>45.77</v>
      </c>
      <c r="F19" s="28">
        <v>46.2</v>
      </c>
      <c r="G19" s="28">
        <f t="shared" si="0"/>
        <v>91.97</v>
      </c>
      <c r="H19" s="28">
        <v>0</v>
      </c>
      <c r="I19" s="28">
        <v>0</v>
      </c>
      <c r="J19" s="112">
        <v>90</v>
      </c>
      <c r="K19" s="28">
        <f t="shared" si="1"/>
        <v>2.1888888888888878</v>
      </c>
      <c r="L19" s="28"/>
      <c r="M19" s="28"/>
      <c r="N19" s="28">
        <f t="shared" si="2"/>
        <v>10448.952267043605</v>
      </c>
      <c r="O19" s="28" t="str">
        <f t="shared" si="3"/>
        <v/>
      </c>
      <c r="P19" s="28">
        <v>8.6199999999999992</v>
      </c>
      <c r="Q19" s="28">
        <v>8.3000000000000007</v>
      </c>
      <c r="R19" s="28">
        <v>9.6300000000000008</v>
      </c>
      <c r="S19" s="28">
        <v>8.4600000000000009</v>
      </c>
      <c r="T19" s="28">
        <v>9.34</v>
      </c>
      <c r="U19" s="28">
        <v>8.6999999999999993</v>
      </c>
      <c r="V19" s="28">
        <f t="shared" si="4"/>
        <v>53.050000000000011</v>
      </c>
      <c r="W19" s="28">
        <v>1.9166666666666667</v>
      </c>
      <c r="X19" s="28">
        <v>0</v>
      </c>
    </row>
    <row r="20" spans="1:26" ht="16.5" customHeight="1" x14ac:dyDescent="0.3">
      <c r="A20" s="30">
        <v>9</v>
      </c>
      <c r="B20" s="28">
        <v>107110</v>
      </c>
      <c r="C20" s="28">
        <v>10021.259999999998</v>
      </c>
      <c r="D20" s="28">
        <v>0</v>
      </c>
      <c r="E20" s="28">
        <v>45.95</v>
      </c>
      <c r="F20" s="28">
        <v>46.37</v>
      </c>
      <c r="G20" s="28">
        <f t="shared" si="0"/>
        <v>92.32</v>
      </c>
      <c r="H20" s="28">
        <v>0</v>
      </c>
      <c r="I20" s="28">
        <v>0</v>
      </c>
      <c r="J20" s="112">
        <v>90</v>
      </c>
      <c r="K20" s="28">
        <f t="shared" si="1"/>
        <v>2.5777777777777704</v>
      </c>
      <c r="L20" s="28"/>
      <c r="M20" s="28"/>
      <c r="N20" s="28">
        <f t="shared" si="2"/>
        <v>10403.452079722705</v>
      </c>
      <c r="O20" s="28" t="str">
        <f t="shared" si="3"/>
        <v/>
      </c>
      <c r="P20" s="28">
        <v>8.6199999999999992</v>
      </c>
      <c r="Q20" s="28">
        <v>8.32</v>
      </c>
      <c r="R20" s="28">
        <v>9.66</v>
      </c>
      <c r="S20" s="28">
        <v>8.4700000000000006</v>
      </c>
      <c r="T20" s="28">
        <v>9.3699999999999992</v>
      </c>
      <c r="U20" s="28">
        <v>8.58</v>
      </c>
      <c r="V20" s="28">
        <f t="shared" si="4"/>
        <v>53.019999999999996</v>
      </c>
      <c r="W20" s="28">
        <v>1.9166666666666667</v>
      </c>
      <c r="X20" s="28">
        <v>0</v>
      </c>
    </row>
    <row r="21" spans="1:26" ht="16.5" x14ac:dyDescent="0.3">
      <c r="A21" s="30">
        <v>10</v>
      </c>
      <c r="B21" s="28">
        <v>107150</v>
      </c>
      <c r="C21" s="28">
        <v>9711.02</v>
      </c>
      <c r="D21" s="28">
        <v>0</v>
      </c>
      <c r="E21" s="28">
        <v>46.03</v>
      </c>
      <c r="F21" s="28">
        <v>46.46</v>
      </c>
      <c r="G21" s="28">
        <f t="shared" si="0"/>
        <v>92.490000000000009</v>
      </c>
      <c r="H21" s="28">
        <v>0</v>
      </c>
      <c r="I21" s="28">
        <v>0</v>
      </c>
      <c r="J21" s="112">
        <v>90</v>
      </c>
      <c r="K21" s="28">
        <f t="shared" si="1"/>
        <v>2.7666666666666768</v>
      </c>
      <c r="L21" s="28"/>
      <c r="M21" s="28"/>
      <c r="N21" s="28">
        <f t="shared" si="2"/>
        <v>10468.548599848631</v>
      </c>
      <c r="O21" s="28" t="str">
        <f t="shared" si="3"/>
        <v/>
      </c>
      <c r="P21" s="28">
        <v>8.59</v>
      </c>
      <c r="Q21" s="28">
        <v>8.4499999999999993</v>
      </c>
      <c r="R21" s="28">
        <v>9.8000000000000007</v>
      </c>
      <c r="S21" s="28">
        <v>8.61</v>
      </c>
      <c r="T21" s="28">
        <v>9.51</v>
      </c>
      <c r="U21" s="28">
        <v>8.49</v>
      </c>
      <c r="V21" s="28">
        <f t="shared" si="4"/>
        <v>53.45</v>
      </c>
      <c r="W21" s="28">
        <v>1.9166666666666667</v>
      </c>
      <c r="X21" s="28">
        <v>0</v>
      </c>
    </row>
    <row r="22" spans="1:26" ht="16.5" x14ac:dyDescent="0.3">
      <c r="A22" s="30">
        <v>11</v>
      </c>
      <c r="B22" s="28">
        <v>107150</v>
      </c>
      <c r="C22" s="28">
        <v>9967.7900000000009</v>
      </c>
      <c r="D22" s="28">
        <v>0</v>
      </c>
      <c r="E22" s="28">
        <v>46.09</v>
      </c>
      <c r="F22" s="28">
        <v>46.53</v>
      </c>
      <c r="G22" s="28">
        <f t="shared" si="0"/>
        <v>92.62</v>
      </c>
      <c r="H22" s="28">
        <v>0</v>
      </c>
      <c r="I22" s="28">
        <v>0</v>
      </c>
      <c r="J22" s="112">
        <v>90</v>
      </c>
      <c r="K22" s="28">
        <f t="shared" si="1"/>
        <v>2.9111111111111163</v>
      </c>
      <c r="L22" s="28"/>
      <c r="M22" s="28"/>
      <c r="N22" s="28">
        <f t="shared" si="2"/>
        <v>10416.694536817104</v>
      </c>
      <c r="O22" s="28" t="str">
        <f t="shared" si="3"/>
        <v/>
      </c>
      <c r="P22" s="28">
        <v>8.61</v>
      </c>
      <c r="Q22" s="28">
        <v>8.42</v>
      </c>
      <c r="R22" s="28">
        <v>9.76</v>
      </c>
      <c r="S22" s="28">
        <v>8.5500000000000007</v>
      </c>
      <c r="T22" s="28">
        <v>9.4700000000000006</v>
      </c>
      <c r="U22" s="28">
        <v>8.4499999999999993</v>
      </c>
      <c r="V22" s="28">
        <f t="shared" si="4"/>
        <v>53.260000000000005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106190</v>
      </c>
      <c r="C23" s="28">
        <v>10191.86</v>
      </c>
      <c r="D23" s="28">
        <v>0</v>
      </c>
      <c r="E23" s="28">
        <v>45.67</v>
      </c>
      <c r="F23" s="28">
        <v>46.11</v>
      </c>
      <c r="G23" s="28">
        <f t="shared" si="0"/>
        <v>91.78</v>
      </c>
      <c r="H23" s="28">
        <v>0</v>
      </c>
      <c r="I23" s="28">
        <v>0</v>
      </c>
      <c r="J23" s="112">
        <v>90</v>
      </c>
      <c r="K23" s="28">
        <f t="shared" si="1"/>
        <v>1.977777777777779</v>
      </c>
      <c r="L23" s="28"/>
      <c r="M23" s="28"/>
      <c r="N23" s="28">
        <f t="shared" si="2"/>
        <v>10472.557071257357</v>
      </c>
      <c r="O23" s="28" t="str">
        <f t="shared" si="3"/>
        <v/>
      </c>
      <c r="P23" s="28">
        <v>8.77</v>
      </c>
      <c r="Q23" s="28">
        <v>8.33</v>
      </c>
      <c r="R23" s="28">
        <v>9.65</v>
      </c>
      <c r="S23" s="28">
        <v>8.4700000000000006</v>
      </c>
      <c r="T23" s="28">
        <v>9.36</v>
      </c>
      <c r="U23" s="28">
        <v>8.48</v>
      </c>
      <c r="V23" s="28">
        <f t="shared" si="4"/>
        <v>53.06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106110</v>
      </c>
      <c r="C24" s="28">
        <v>14416.919999999998</v>
      </c>
      <c r="D24" s="28">
        <v>0</v>
      </c>
      <c r="E24" s="28">
        <v>45.56</v>
      </c>
      <c r="F24" s="28">
        <v>46.02</v>
      </c>
      <c r="G24" s="28">
        <f t="shared" si="0"/>
        <v>91.580000000000013</v>
      </c>
      <c r="H24" s="28">
        <v>0</v>
      </c>
      <c r="I24" s="28">
        <v>0</v>
      </c>
      <c r="J24" s="112">
        <v>90</v>
      </c>
      <c r="K24" s="28">
        <f t="shared" si="1"/>
        <v>1.7555555555555695</v>
      </c>
      <c r="L24" s="28"/>
      <c r="M24" s="28"/>
      <c r="N24" s="28">
        <f t="shared" si="2"/>
        <v>10457.845337409915</v>
      </c>
      <c r="O24" s="28" t="str">
        <f t="shared" si="3"/>
        <v/>
      </c>
      <c r="P24" s="28">
        <v>8.73</v>
      </c>
      <c r="Q24" s="28">
        <v>8.24</v>
      </c>
      <c r="R24" s="28">
        <v>9.57</v>
      </c>
      <c r="S24" s="28">
        <v>8.36</v>
      </c>
      <c r="T24" s="28">
        <v>9.27</v>
      </c>
      <c r="U24" s="28">
        <v>8.6999999999999993</v>
      </c>
      <c r="V24" s="28">
        <f t="shared" si="4"/>
        <v>52.870000000000005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106080</v>
      </c>
      <c r="C25" s="28">
        <v>16754.690000000002</v>
      </c>
      <c r="D25" s="28">
        <v>0</v>
      </c>
      <c r="E25" s="28">
        <v>45.57</v>
      </c>
      <c r="F25" s="28">
        <v>46.03</v>
      </c>
      <c r="G25" s="28">
        <f t="shared" si="0"/>
        <v>91.6</v>
      </c>
      <c r="H25" s="28">
        <v>0</v>
      </c>
      <c r="I25" s="28">
        <v>0</v>
      </c>
      <c r="J25" s="112">
        <v>90</v>
      </c>
      <c r="K25" s="28">
        <f t="shared" si="1"/>
        <v>1.7777777777777715</v>
      </c>
      <c r="L25" s="28"/>
      <c r="M25" s="28"/>
      <c r="N25" s="28">
        <f t="shared" si="2"/>
        <v>10489.18113537118</v>
      </c>
      <c r="O25" s="28" t="str">
        <f t="shared" si="3"/>
        <v/>
      </c>
      <c r="P25" s="28">
        <v>8.73</v>
      </c>
      <c r="Q25" s="28">
        <v>8.2899999999999991</v>
      </c>
      <c r="R25" s="28">
        <v>9.6199999999999992</v>
      </c>
      <c r="S25" s="28">
        <v>8.41</v>
      </c>
      <c r="T25" s="28">
        <v>9.32</v>
      </c>
      <c r="U25" s="28">
        <v>8.67</v>
      </c>
      <c r="V25" s="28">
        <f t="shared" si="4"/>
        <v>53.04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106230</v>
      </c>
      <c r="C26" s="28">
        <v>10017.49</v>
      </c>
      <c r="D26" s="28">
        <v>492.52</v>
      </c>
      <c r="E26" s="28">
        <v>45.68</v>
      </c>
      <c r="F26" s="28">
        <v>46.12</v>
      </c>
      <c r="G26" s="28">
        <f t="shared" si="0"/>
        <v>91.8</v>
      </c>
      <c r="H26" s="28">
        <v>0</v>
      </c>
      <c r="I26" s="28">
        <v>0</v>
      </c>
      <c r="J26" s="112">
        <v>90</v>
      </c>
      <c r="K26" s="28">
        <f t="shared" si="1"/>
        <v>1.9999999999999969</v>
      </c>
      <c r="L26" s="28"/>
      <c r="M26" s="28"/>
      <c r="N26" s="28">
        <f t="shared" si="2"/>
        <v>10444.622701525055</v>
      </c>
      <c r="O26" s="28" t="str">
        <f t="shared" si="3"/>
        <v/>
      </c>
      <c r="P26" s="28">
        <v>8.68</v>
      </c>
      <c r="Q26" s="28">
        <v>8.24</v>
      </c>
      <c r="R26" s="28">
        <v>9.58</v>
      </c>
      <c r="S26" s="28">
        <v>8.3699999999999992</v>
      </c>
      <c r="T26" s="28">
        <v>9.2899999999999991</v>
      </c>
      <c r="U26" s="28">
        <v>8.77</v>
      </c>
      <c r="V26" s="28">
        <f t="shared" si="4"/>
        <v>52.929999999999993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107280</v>
      </c>
      <c r="C27" s="28">
        <v>71.94</v>
      </c>
      <c r="D27" s="28">
        <v>1774.4699999999998</v>
      </c>
      <c r="E27" s="28">
        <v>46.19</v>
      </c>
      <c r="F27" s="28">
        <v>46.63</v>
      </c>
      <c r="G27" s="28">
        <f t="shared" si="0"/>
        <v>92.82</v>
      </c>
      <c r="H27" s="28">
        <v>0</v>
      </c>
      <c r="I27" s="28">
        <v>0</v>
      </c>
      <c r="J27" s="112">
        <v>90</v>
      </c>
      <c r="K27" s="28">
        <f t="shared" si="1"/>
        <v>3.1333333333333258</v>
      </c>
      <c r="L27" s="28"/>
      <c r="M27" s="28"/>
      <c r="N27" s="28">
        <f t="shared" si="2"/>
        <v>10507.442706313297</v>
      </c>
      <c r="O27" s="28" t="str">
        <f t="shared" si="3"/>
        <v/>
      </c>
      <c r="P27" s="28">
        <v>8.65</v>
      </c>
      <c r="Q27" s="28">
        <v>8.44</v>
      </c>
      <c r="R27" s="28">
        <v>9.7899999999999991</v>
      </c>
      <c r="S27" s="28">
        <v>8.58</v>
      </c>
      <c r="T27" s="28">
        <v>9.49</v>
      </c>
      <c r="U27" s="28">
        <v>8.89</v>
      </c>
      <c r="V27" s="28">
        <f t="shared" si="4"/>
        <v>53.84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127270</v>
      </c>
      <c r="C28" s="28">
        <v>0</v>
      </c>
      <c r="D28" s="28">
        <v>5974.77</v>
      </c>
      <c r="E28" s="28">
        <v>55.61</v>
      </c>
      <c r="F28" s="28">
        <v>56.12</v>
      </c>
      <c r="G28" s="28">
        <f t="shared" si="0"/>
        <v>111.72999999999999</v>
      </c>
      <c r="H28" s="28">
        <v>0</v>
      </c>
      <c r="I28" s="28">
        <v>0</v>
      </c>
      <c r="J28" s="112">
        <v>109</v>
      </c>
      <c r="K28" s="28">
        <f t="shared" si="1"/>
        <v>2.5045871559632933</v>
      </c>
      <c r="L28" s="28"/>
      <c r="M28" s="28"/>
      <c r="N28" s="28">
        <f t="shared" si="2"/>
        <v>10162.316871028373</v>
      </c>
      <c r="O28" s="28" t="str">
        <f t="shared" si="3"/>
        <v/>
      </c>
      <c r="P28" s="28">
        <v>8.39</v>
      </c>
      <c r="Q28" s="28">
        <v>10.07</v>
      </c>
      <c r="R28" s="28">
        <v>11.32</v>
      </c>
      <c r="S28" s="28">
        <v>12.2</v>
      </c>
      <c r="T28" s="28">
        <v>11.83</v>
      </c>
      <c r="U28" s="28">
        <v>8.8699999999999992</v>
      </c>
      <c r="V28" s="28">
        <f t="shared" si="4"/>
        <v>62.68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152010</v>
      </c>
      <c r="C29" s="28">
        <v>0</v>
      </c>
      <c r="D29" s="28">
        <v>7824.2199999999993</v>
      </c>
      <c r="E29" s="28">
        <v>67.09</v>
      </c>
      <c r="F29" s="28">
        <v>67.69</v>
      </c>
      <c r="G29" s="28">
        <f t="shared" si="0"/>
        <v>134.78</v>
      </c>
      <c r="H29" s="28">
        <v>0</v>
      </c>
      <c r="I29" s="28">
        <v>0</v>
      </c>
      <c r="J29" s="112">
        <v>134</v>
      </c>
      <c r="K29" s="28">
        <f t="shared" si="1"/>
        <v>0.58208955223880687</v>
      </c>
      <c r="L29" s="28"/>
      <c r="M29" s="28"/>
      <c r="N29" s="28">
        <f t="shared" si="2"/>
        <v>9965.9624573378842</v>
      </c>
      <c r="O29" s="28" t="str">
        <f t="shared" si="3"/>
        <v/>
      </c>
      <c r="P29" s="28">
        <v>8.2100000000000009</v>
      </c>
      <c r="Q29" s="28">
        <v>12.13</v>
      </c>
      <c r="R29" s="28">
        <v>14.04</v>
      </c>
      <c r="S29" s="28">
        <v>15.27</v>
      </c>
      <c r="T29" s="28">
        <v>15.78</v>
      </c>
      <c r="U29" s="28">
        <v>8.7200000000000006</v>
      </c>
      <c r="V29" s="28">
        <f t="shared" si="4"/>
        <v>74.150000000000006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177920</v>
      </c>
      <c r="C30" s="28">
        <v>0</v>
      </c>
      <c r="D30" s="28">
        <v>12447.04</v>
      </c>
      <c r="E30" s="28">
        <v>79.209999999999994</v>
      </c>
      <c r="F30" s="28">
        <v>79.91</v>
      </c>
      <c r="G30" s="28">
        <f t="shared" si="0"/>
        <v>159.12</v>
      </c>
      <c r="H30" s="28">
        <v>0</v>
      </c>
      <c r="I30" s="28">
        <v>0</v>
      </c>
      <c r="J30" s="112">
        <v>164</v>
      </c>
      <c r="K30" s="28">
        <f t="shared" si="1"/>
        <v>-2.9756097560975583</v>
      </c>
      <c r="L30" s="28"/>
      <c r="M30" s="28"/>
      <c r="N30" s="28">
        <f t="shared" si="2"/>
        <v>9504.8055052790369</v>
      </c>
      <c r="O30" s="28" t="str">
        <f t="shared" si="3"/>
        <v/>
      </c>
      <c r="P30" s="28">
        <v>7.88</v>
      </c>
      <c r="Q30" s="28">
        <v>14.52</v>
      </c>
      <c r="R30" s="28">
        <v>16.97</v>
      </c>
      <c r="S30" s="28">
        <v>17.75</v>
      </c>
      <c r="T30" s="28">
        <v>17.739999999999998</v>
      </c>
      <c r="U30" s="28">
        <v>8.6300000000000008</v>
      </c>
      <c r="V30" s="28">
        <f t="shared" si="4"/>
        <v>83.49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177690</v>
      </c>
      <c r="C31" s="28">
        <v>0</v>
      </c>
      <c r="D31" s="28">
        <v>14355.09</v>
      </c>
      <c r="E31" s="28">
        <v>79.03</v>
      </c>
      <c r="F31" s="28">
        <v>79.73</v>
      </c>
      <c r="G31" s="28">
        <f t="shared" si="0"/>
        <v>158.76</v>
      </c>
      <c r="H31" s="28">
        <v>0</v>
      </c>
      <c r="I31" s="28">
        <v>0</v>
      </c>
      <c r="J31" s="112">
        <v>164</v>
      </c>
      <c r="K31" s="28">
        <f t="shared" si="1"/>
        <v>-3.1951219512195177</v>
      </c>
      <c r="L31" s="28"/>
      <c r="M31" s="28"/>
      <c r="N31" s="28">
        <f t="shared" si="2"/>
        <v>9411.1155454774507</v>
      </c>
      <c r="O31" s="28" t="str">
        <f t="shared" si="3"/>
        <v/>
      </c>
      <c r="P31" s="28">
        <v>7.68</v>
      </c>
      <c r="Q31" s="28">
        <v>13.53</v>
      </c>
      <c r="R31" s="28">
        <v>17.54</v>
      </c>
      <c r="S31" s="28">
        <v>17.54</v>
      </c>
      <c r="T31" s="28">
        <v>17.53</v>
      </c>
      <c r="U31" s="28">
        <v>8.66</v>
      </c>
      <c r="V31" s="28">
        <f t="shared" si="4"/>
        <v>82.47999999999999</v>
      </c>
      <c r="W31" s="28">
        <v>1.9166666666666667</v>
      </c>
      <c r="X31" s="28">
        <v>0</v>
      </c>
    </row>
    <row r="32" spans="1:26" s="32" customFormat="1" ht="16.5" x14ac:dyDescent="0.3">
      <c r="A32" s="31">
        <v>21</v>
      </c>
      <c r="B32" s="28">
        <v>177900</v>
      </c>
      <c r="C32" s="28">
        <v>0</v>
      </c>
      <c r="D32" s="28">
        <v>15395.17</v>
      </c>
      <c r="E32" s="28">
        <v>79.08</v>
      </c>
      <c r="F32" s="28">
        <v>79.81</v>
      </c>
      <c r="G32" s="28">
        <f t="shared" si="0"/>
        <v>158.88999999999999</v>
      </c>
      <c r="H32" s="28">
        <v>0</v>
      </c>
      <c r="I32" s="28">
        <v>0</v>
      </c>
      <c r="J32" s="112">
        <v>164</v>
      </c>
      <c r="K32" s="28">
        <f t="shared" si="1"/>
        <v>-3.1158536585365937</v>
      </c>
      <c r="L32" s="28"/>
      <c r="M32" s="28"/>
      <c r="N32" s="28">
        <f t="shared" si="2"/>
        <v>9301.9480898734964</v>
      </c>
      <c r="O32" s="28" t="str">
        <f t="shared" si="3"/>
        <v/>
      </c>
      <c r="P32" s="28">
        <v>7.71</v>
      </c>
      <c r="Q32" s="28">
        <v>13.33</v>
      </c>
      <c r="R32" s="28">
        <v>17.309999999999999</v>
      </c>
      <c r="S32" s="28">
        <v>17.32</v>
      </c>
      <c r="T32" s="28">
        <v>17.309999999999999</v>
      </c>
      <c r="U32" s="28">
        <v>8.61</v>
      </c>
      <c r="V32" s="28">
        <f t="shared" si="4"/>
        <v>81.589999999999989</v>
      </c>
      <c r="W32" s="28">
        <v>1.9166666666666667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176960</v>
      </c>
      <c r="C33" s="28">
        <v>0</v>
      </c>
      <c r="D33" s="28">
        <v>13896.21</v>
      </c>
      <c r="E33" s="28">
        <v>78.92</v>
      </c>
      <c r="F33" s="28">
        <v>79.66</v>
      </c>
      <c r="G33" s="28">
        <f t="shared" si="0"/>
        <v>158.57999999999998</v>
      </c>
      <c r="H33" s="28">
        <v>0</v>
      </c>
      <c r="I33" s="28">
        <v>0</v>
      </c>
      <c r="J33" s="112">
        <v>164</v>
      </c>
      <c r="K33" s="28">
        <f t="shared" si="1"/>
        <v>-3.3048780487804974</v>
      </c>
      <c r="L33" s="28"/>
      <c r="M33" s="28"/>
      <c r="N33" s="28">
        <f t="shared" si="2"/>
        <v>9253.8778408374328</v>
      </c>
      <c r="O33" s="28" t="str">
        <f t="shared" si="3"/>
        <v/>
      </c>
      <c r="P33" s="28">
        <v>7.68</v>
      </c>
      <c r="Q33" s="28">
        <v>13.23</v>
      </c>
      <c r="R33" s="28">
        <v>17.22</v>
      </c>
      <c r="S33" s="28">
        <v>17.23</v>
      </c>
      <c r="T33" s="28">
        <v>17.22</v>
      </c>
      <c r="U33" s="28">
        <v>8.43</v>
      </c>
      <c r="V33" s="28">
        <f t="shared" si="4"/>
        <v>81.009999999999991</v>
      </c>
      <c r="W33" s="28">
        <v>1.9166666666666667</v>
      </c>
      <c r="X33" s="28">
        <v>0</v>
      </c>
    </row>
    <row r="34" spans="1:26" ht="16.5" x14ac:dyDescent="0.3">
      <c r="A34" s="30">
        <v>23</v>
      </c>
      <c r="B34" s="28">
        <v>177140</v>
      </c>
      <c r="C34" s="28">
        <v>0</v>
      </c>
      <c r="D34" s="28">
        <v>15678.029999999999</v>
      </c>
      <c r="E34" s="28">
        <v>79.05</v>
      </c>
      <c r="F34" s="28">
        <v>79.760000000000005</v>
      </c>
      <c r="G34" s="28">
        <f t="shared" si="0"/>
        <v>158.81</v>
      </c>
      <c r="H34" s="28">
        <v>0</v>
      </c>
      <c r="I34" s="28">
        <v>0</v>
      </c>
      <c r="J34" s="112">
        <v>164</v>
      </c>
      <c r="K34" s="28">
        <f t="shared" si="1"/>
        <v>-3.164634146341462</v>
      </c>
      <c r="L34" s="28"/>
      <c r="M34" s="28"/>
      <c r="N34" s="28">
        <f t="shared" si="2"/>
        <v>9259.8669101441956</v>
      </c>
      <c r="O34" s="28" t="str">
        <f t="shared" si="3"/>
        <v/>
      </c>
      <c r="P34" s="28">
        <v>7.68</v>
      </c>
      <c r="Q34" s="28">
        <v>13.31</v>
      </c>
      <c r="R34" s="28">
        <v>17.309999999999999</v>
      </c>
      <c r="S34" s="28">
        <v>17.32</v>
      </c>
      <c r="T34" s="28">
        <v>17.309999999999999</v>
      </c>
      <c r="U34" s="28">
        <v>8.25</v>
      </c>
      <c r="V34" s="28">
        <f t="shared" si="4"/>
        <v>81.179999999999993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176940</v>
      </c>
      <c r="C35" s="28">
        <v>0</v>
      </c>
      <c r="D35" s="28">
        <v>17596.010000000002</v>
      </c>
      <c r="E35" s="28">
        <v>79</v>
      </c>
      <c r="F35" s="28">
        <v>79.7</v>
      </c>
      <c r="G35" s="28">
        <f t="shared" si="0"/>
        <v>158.69999999999999</v>
      </c>
      <c r="H35" s="28">
        <v>0</v>
      </c>
      <c r="I35" s="28">
        <v>0</v>
      </c>
      <c r="J35" s="112">
        <v>164</v>
      </c>
      <c r="K35" s="116">
        <f t="shared" si="1"/>
        <v>-3.2317073170731776</v>
      </c>
      <c r="L35" s="116"/>
      <c r="M35" s="117"/>
      <c r="N35" s="28">
        <f t="shared" si="2"/>
        <v>9297.1043478260872</v>
      </c>
      <c r="O35" s="28" t="str">
        <f t="shared" si="3"/>
        <v/>
      </c>
      <c r="P35" s="28">
        <v>7.67</v>
      </c>
      <c r="Q35" s="28">
        <v>13.37</v>
      </c>
      <c r="R35" s="28">
        <v>17.38</v>
      </c>
      <c r="S35" s="28">
        <v>17.38</v>
      </c>
      <c r="T35" s="28">
        <v>17.37</v>
      </c>
      <c r="U35" s="28">
        <v>8.2799999999999994</v>
      </c>
      <c r="V35" s="28">
        <f t="shared" si="4"/>
        <v>81.45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 t="shared" ref="B36:J36" si="5">SUM(B12:B35)</f>
        <v>3436900</v>
      </c>
      <c r="C36" s="35">
        <f t="shared" si="5"/>
        <v>120614.89</v>
      </c>
      <c r="D36" s="35">
        <f t="shared" si="5"/>
        <v>136632.80000000002</v>
      </c>
      <c r="E36" s="35">
        <f t="shared" si="5"/>
        <v>1513.15</v>
      </c>
      <c r="F36" s="35">
        <f t="shared" si="5"/>
        <v>1527.0900000000001</v>
      </c>
      <c r="G36" s="35">
        <f t="shared" si="5"/>
        <v>3040.2399999999989</v>
      </c>
      <c r="H36" s="35">
        <f t="shared" si="5"/>
        <v>0</v>
      </c>
      <c r="I36" s="35">
        <f t="shared" si="5"/>
        <v>0</v>
      </c>
      <c r="J36" s="35">
        <f t="shared" si="5"/>
        <v>2968.95</v>
      </c>
      <c r="K36" s="36"/>
      <c r="L36" s="37"/>
      <c r="M36" s="38"/>
      <c r="N36" s="35">
        <f>IFERROR(AVERAGE(N12:N35),"")</f>
        <v>9844.1555697542371</v>
      </c>
      <c r="O36" s="39">
        <f t="shared" ref="O36" si="6">SUM(O12:O35)</f>
        <v>84.830000000000013</v>
      </c>
      <c r="P36" s="39">
        <f>SUM(P12:P35)</f>
        <v>206.79000000000005</v>
      </c>
      <c r="Q36" s="39">
        <f t="shared" ref="Q36:U36" si="7">SUM(Q12:Q35)</f>
        <v>271.53000000000003</v>
      </c>
      <c r="R36" s="39">
        <f t="shared" si="7"/>
        <v>318.47999999999996</v>
      </c>
      <c r="S36" s="39">
        <f t="shared" si="7"/>
        <v>302.26</v>
      </c>
      <c r="T36" s="39">
        <f t="shared" si="7"/>
        <v>316.73000000000008</v>
      </c>
      <c r="U36" s="39">
        <f t="shared" si="7"/>
        <v>215.62000000000003</v>
      </c>
      <c r="V36" s="39">
        <f>SUM(V12:V35)</f>
        <v>1631.41</v>
      </c>
      <c r="W36" s="40">
        <f>SUM(W12:W35)</f>
        <v>11.5</v>
      </c>
      <c r="X36" s="40">
        <f>SUM(X12:X35)</f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+X39+X36</f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0</v>
      </c>
      <c r="J41" s="41"/>
      <c r="K41" s="13" t="s">
        <v>59</v>
      </c>
      <c r="L41" s="113">
        <v>404209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1</v>
      </c>
      <c r="B42" s="57">
        <v>0</v>
      </c>
      <c r="C42" s="57">
        <v>0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175315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>
        <f>IFERROR(3412.14/N36,"")</f>
        <v>0.346615814411107</v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4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José Leal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766.13</v>
      </c>
      <c r="D58" s="81">
        <v>0</v>
      </c>
      <c r="E58" s="82">
        <v>0</v>
      </c>
      <c r="F58" s="83">
        <v>5401.72</v>
      </c>
      <c r="G58" s="82">
        <v>0</v>
      </c>
      <c r="H58" s="84">
        <f t="shared" ref="H58:H81" si="8">IF(G58=0,0,100*(E58-G58)/G58)</f>
        <v>0</v>
      </c>
      <c r="I58" s="85"/>
      <c r="J58" s="85"/>
      <c r="K58" s="86" t="str">
        <f t="shared" ref="K58:K81" si="9">IFERROR(U58*1000*2.2*$K$92/E58/1000,"")</f>
        <v/>
      </c>
      <c r="L58" s="87" t="str">
        <f t="shared" ref="L58:L81" si="10">IF(OR(H58&gt;5,H58&lt;-5),E58-G58,"")</f>
        <v/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857.73</v>
      </c>
      <c r="D59" s="81">
        <v>0</v>
      </c>
      <c r="E59" s="82">
        <v>0</v>
      </c>
      <c r="F59" s="82">
        <v>5061.7299999999996</v>
      </c>
      <c r="G59" s="82">
        <v>0</v>
      </c>
      <c r="H59" s="91">
        <f t="shared" si="8"/>
        <v>0</v>
      </c>
      <c r="I59" s="85"/>
      <c r="J59" s="85"/>
      <c r="K59" s="86" t="str">
        <f t="shared" si="9"/>
        <v/>
      </c>
      <c r="L59" s="87" t="str">
        <f t="shared" si="10"/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11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861.96</v>
      </c>
      <c r="D60" s="81">
        <v>0</v>
      </c>
      <c r="E60" s="82">
        <v>0</v>
      </c>
      <c r="F60" s="82">
        <v>5059.93</v>
      </c>
      <c r="G60" s="82">
        <v>0</v>
      </c>
      <c r="H60" s="91">
        <f t="shared" si="8"/>
        <v>0</v>
      </c>
      <c r="I60" s="85"/>
      <c r="J60" s="85"/>
      <c r="K60" s="86" t="str">
        <f t="shared" si="9"/>
        <v/>
      </c>
      <c r="L60" s="87" t="str">
        <f t="shared" si="10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11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880.72</v>
      </c>
      <c r="D61" s="81">
        <v>0</v>
      </c>
      <c r="E61" s="82">
        <v>0</v>
      </c>
      <c r="F61" s="82">
        <v>5048.3599999999997</v>
      </c>
      <c r="G61" s="82">
        <v>0</v>
      </c>
      <c r="H61" s="91">
        <f t="shared" si="8"/>
        <v>0</v>
      </c>
      <c r="I61" s="85"/>
      <c r="J61" s="85"/>
      <c r="K61" s="86" t="str">
        <f t="shared" si="9"/>
        <v/>
      </c>
      <c r="L61" s="87" t="str">
        <f t="shared" si="10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11"/>
        <v>0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882.75</v>
      </c>
      <c r="D62" s="81">
        <v>0</v>
      </c>
      <c r="E62" s="82">
        <v>0</v>
      </c>
      <c r="F62" s="82">
        <v>5038.49</v>
      </c>
      <c r="G62" s="82">
        <v>0</v>
      </c>
      <c r="H62" s="91">
        <f t="shared" si="8"/>
        <v>0</v>
      </c>
      <c r="I62" s="85"/>
      <c r="J62" s="85"/>
      <c r="K62" s="86" t="str">
        <f t="shared" si="9"/>
        <v/>
      </c>
      <c r="L62" s="87" t="str">
        <f t="shared" si="10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11"/>
        <v>0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892.59</v>
      </c>
      <c r="D63" s="81">
        <v>0</v>
      </c>
      <c r="E63" s="82">
        <v>0</v>
      </c>
      <c r="F63" s="82">
        <v>5036.92</v>
      </c>
      <c r="G63" s="82">
        <v>0</v>
      </c>
      <c r="H63" s="91">
        <f t="shared" si="8"/>
        <v>0</v>
      </c>
      <c r="I63" s="85"/>
      <c r="J63" s="85"/>
      <c r="K63" s="86" t="str">
        <f t="shared" si="9"/>
        <v/>
      </c>
      <c r="L63" s="87" t="str">
        <f t="shared" si="10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11"/>
        <v>0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924.12</v>
      </c>
      <c r="D64" s="81">
        <v>0</v>
      </c>
      <c r="E64" s="82">
        <v>0</v>
      </c>
      <c r="F64" s="82">
        <v>4980.5</v>
      </c>
      <c r="G64" s="82">
        <v>0</v>
      </c>
      <c r="H64" s="91">
        <f t="shared" si="8"/>
        <v>0</v>
      </c>
      <c r="I64" s="85"/>
      <c r="J64" s="85"/>
      <c r="K64" s="86" t="str">
        <f t="shared" si="9"/>
        <v/>
      </c>
      <c r="L64" s="87" t="str">
        <f t="shared" si="10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11"/>
        <v>0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915.92</v>
      </c>
      <c r="D65" s="81">
        <v>0</v>
      </c>
      <c r="E65" s="82">
        <v>0</v>
      </c>
      <c r="F65" s="82">
        <v>5125.1499999999996</v>
      </c>
      <c r="G65" s="82">
        <v>0</v>
      </c>
      <c r="H65" s="91">
        <f t="shared" si="8"/>
        <v>0</v>
      </c>
      <c r="I65" s="85"/>
      <c r="J65" s="85"/>
      <c r="K65" s="86" t="str">
        <f t="shared" si="9"/>
        <v/>
      </c>
      <c r="L65" s="87" t="str">
        <f t="shared" si="10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11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949.71</v>
      </c>
      <c r="D66" s="81">
        <v>0</v>
      </c>
      <c r="E66" s="82">
        <v>0</v>
      </c>
      <c r="F66" s="82">
        <v>4983.57</v>
      </c>
      <c r="G66" s="82">
        <v>0</v>
      </c>
      <c r="H66" s="91">
        <f t="shared" si="8"/>
        <v>0</v>
      </c>
      <c r="I66" s="85"/>
      <c r="J66" s="85"/>
      <c r="K66" s="86" t="str">
        <f t="shared" si="9"/>
        <v/>
      </c>
      <c r="L66" s="87" t="str">
        <f t="shared" si="10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11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945.27</v>
      </c>
      <c r="D67" s="81">
        <v>0</v>
      </c>
      <c r="E67" s="82">
        <v>0</v>
      </c>
      <c r="F67" s="82">
        <v>4809.8</v>
      </c>
      <c r="G67" s="82">
        <v>0</v>
      </c>
      <c r="H67" s="91">
        <f t="shared" si="8"/>
        <v>0</v>
      </c>
      <c r="I67" s="85"/>
      <c r="J67" s="85"/>
      <c r="K67" s="86" t="str">
        <f t="shared" si="9"/>
        <v/>
      </c>
      <c r="L67" s="87" t="str">
        <f t="shared" si="10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11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955.68</v>
      </c>
      <c r="D68" s="81">
        <v>0</v>
      </c>
      <c r="E68" s="82">
        <v>0</v>
      </c>
      <c r="F68" s="82">
        <v>4802.43</v>
      </c>
      <c r="G68" s="82">
        <v>0</v>
      </c>
      <c r="H68" s="91">
        <f t="shared" si="8"/>
        <v>0</v>
      </c>
      <c r="I68" s="85"/>
      <c r="J68" s="85"/>
      <c r="K68" s="86" t="str">
        <f t="shared" si="9"/>
        <v/>
      </c>
      <c r="L68" s="87" t="str">
        <f t="shared" si="10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11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938.89</v>
      </c>
      <c r="D69" s="81">
        <v>0</v>
      </c>
      <c r="E69" s="82">
        <v>0</v>
      </c>
      <c r="F69" s="82">
        <v>4810.21</v>
      </c>
      <c r="G69" s="82">
        <v>0</v>
      </c>
      <c r="H69" s="91">
        <f t="shared" si="8"/>
        <v>0</v>
      </c>
      <c r="I69" s="85"/>
      <c r="J69" s="85"/>
      <c r="K69" s="86" t="str">
        <f t="shared" si="9"/>
        <v/>
      </c>
      <c r="L69" s="87" t="str">
        <f t="shared" si="10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11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941.87</v>
      </c>
      <c r="D70" s="81">
        <v>0</v>
      </c>
      <c r="E70" s="82">
        <v>0</v>
      </c>
      <c r="F70" s="82">
        <v>4791.57</v>
      </c>
      <c r="G70" s="82">
        <v>0</v>
      </c>
      <c r="H70" s="91">
        <f t="shared" si="8"/>
        <v>0</v>
      </c>
      <c r="I70" s="85"/>
      <c r="J70" s="85"/>
      <c r="K70" s="86" t="str">
        <f t="shared" si="9"/>
        <v/>
      </c>
      <c r="L70" s="87" t="str">
        <f t="shared" si="10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11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857.76</v>
      </c>
      <c r="D71" s="81">
        <v>0</v>
      </c>
      <c r="E71" s="82">
        <v>0</v>
      </c>
      <c r="F71" s="82">
        <v>4888.04</v>
      </c>
      <c r="G71" s="82">
        <v>0</v>
      </c>
      <c r="H71" s="91">
        <f t="shared" si="8"/>
        <v>0</v>
      </c>
      <c r="I71" s="85"/>
      <c r="J71" s="85"/>
      <c r="K71" s="86" t="str">
        <f t="shared" si="9"/>
        <v/>
      </c>
      <c r="L71" s="87" t="str">
        <f t="shared" si="10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11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868.27</v>
      </c>
      <c r="D72" s="81">
        <v>0</v>
      </c>
      <c r="E72" s="82">
        <v>0</v>
      </c>
      <c r="F72" s="82">
        <v>4963.4799999999996</v>
      </c>
      <c r="G72" s="82">
        <v>0</v>
      </c>
      <c r="H72" s="91">
        <f t="shared" si="8"/>
        <v>0</v>
      </c>
      <c r="I72" s="85"/>
      <c r="J72" s="85"/>
      <c r="K72" s="86" t="str">
        <f t="shared" si="9"/>
        <v/>
      </c>
      <c r="L72" s="87" t="str">
        <f t="shared" si="10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11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931.1</v>
      </c>
      <c r="D73" s="81">
        <v>0</v>
      </c>
      <c r="E73" s="82">
        <v>0</v>
      </c>
      <c r="F73" s="82">
        <v>4983.7299999999996</v>
      </c>
      <c r="G73" s="82">
        <v>0</v>
      </c>
      <c r="H73" s="91">
        <f t="shared" si="8"/>
        <v>0</v>
      </c>
      <c r="I73" s="85"/>
      <c r="J73" s="85"/>
      <c r="K73" s="86" t="str">
        <f t="shared" si="9"/>
        <v/>
      </c>
      <c r="L73" s="87" t="str">
        <f t="shared" si="10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11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885.1</v>
      </c>
      <c r="D74" s="81">
        <v>0</v>
      </c>
      <c r="E74" s="82">
        <v>0</v>
      </c>
      <c r="F74" s="82">
        <v>5119.55</v>
      </c>
      <c r="G74" s="82">
        <v>0</v>
      </c>
      <c r="H74" s="91">
        <f t="shared" si="8"/>
        <v>0</v>
      </c>
      <c r="I74" s="85"/>
      <c r="J74" s="85"/>
      <c r="K74" s="86" t="str">
        <f t="shared" si="9"/>
        <v/>
      </c>
      <c r="L74" s="87" t="str">
        <f t="shared" si="10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11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984.85</v>
      </c>
      <c r="D75" s="81">
        <v>0</v>
      </c>
      <c r="E75" s="82">
        <v>0</v>
      </c>
      <c r="F75" s="82">
        <v>4874.82</v>
      </c>
      <c r="G75" s="82">
        <v>0</v>
      </c>
      <c r="H75" s="91">
        <f t="shared" si="8"/>
        <v>0</v>
      </c>
      <c r="I75" s="85"/>
      <c r="J75" s="85"/>
      <c r="K75" s="86" t="str">
        <f t="shared" si="9"/>
        <v/>
      </c>
      <c r="L75" s="87" t="str">
        <f t="shared" si="10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11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985.81</v>
      </c>
      <c r="D76" s="81">
        <v>0</v>
      </c>
      <c r="E76" s="82">
        <v>0</v>
      </c>
      <c r="F76" s="82">
        <v>4903.5200000000004</v>
      </c>
      <c r="G76" s="82">
        <v>0</v>
      </c>
      <c r="H76" s="91">
        <f t="shared" si="8"/>
        <v>0</v>
      </c>
      <c r="I76" s="85"/>
      <c r="J76" s="85"/>
      <c r="K76" s="86" t="str">
        <f t="shared" si="9"/>
        <v/>
      </c>
      <c r="L76" s="87" t="str">
        <f t="shared" si="10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11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887.38</v>
      </c>
      <c r="D77" s="81">
        <v>0.73</v>
      </c>
      <c r="E77" s="82">
        <v>0</v>
      </c>
      <c r="F77" s="82">
        <v>5234.0600000000004</v>
      </c>
      <c r="G77" s="82">
        <v>0</v>
      </c>
      <c r="H77" s="91">
        <f t="shared" si="8"/>
        <v>0</v>
      </c>
      <c r="I77" s="85"/>
      <c r="J77" s="85"/>
      <c r="K77" s="86" t="str">
        <f t="shared" si="9"/>
        <v/>
      </c>
      <c r="L77" s="87" t="str">
        <f t="shared" si="10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11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863.71</v>
      </c>
      <c r="D78" s="81">
        <v>0</v>
      </c>
      <c r="E78" s="82">
        <v>0</v>
      </c>
      <c r="F78" s="82">
        <v>5223.17</v>
      </c>
      <c r="G78" s="82">
        <v>0</v>
      </c>
      <c r="H78" s="91">
        <f t="shared" si="8"/>
        <v>0</v>
      </c>
      <c r="I78" s="85"/>
      <c r="J78" s="85"/>
      <c r="K78" s="86" t="str">
        <f t="shared" si="9"/>
        <v/>
      </c>
      <c r="L78" s="87" t="str">
        <f t="shared" si="10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1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948</v>
      </c>
      <c r="D79" s="81">
        <v>0</v>
      </c>
      <c r="E79" s="82">
        <v>0</v>
      </c>
      <c r="F79" s="82">
        <v>5065.68</v>
      </c>
      <c r="G79" s="82">
        <v>0</v>
      </c>
      <c r="H79" s="91">
        <f t="shared" si="8"/>
        <v>0</v>
      </c>
      <c r="I79" s="85"/>
      <c r="J79" s="85"/>
      <c r="K79" s="86" t="str">
        <f t="shared" si="9"/>
        <v/>
      </c>
      <c r="L79" s="87" t="str">
        <f t="shared" si="10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1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933.86</v>
      </c>
      <c r="D80" s="81">
        <v>0</v>
      </c>
      <c r="E80" s="82">
        <v>0</v>
      </c>
      <c r="F80" s="82">
        <v>5084.72</v>
      </c>
      <c r="G80" s="82">
        <v>0</v>
      </c>
      <c r="H80" s="91">
        <f t="shared" si="8"/>
        <v>0</v>
      </c>
      <c r="I80" s="85"/>
      <c r="J80" s="85"/>
      <c r="K80" s="86" t="str">
        <f t="shared" si="9"/>
        <v/>
      </c>
      <c r="L80" s="87" t="str">
        <f t="shared" si="10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1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925.7</v>
      </c>
      <c r="D81" s="28">
        <v>0</v>
      </c>
      <c r="E81" s="96">
        <v>0</v>
      </c>
      <c r="F81" s="97">
        <v>5111.8599999999997</v>
      </c>
      <c r="G81" s="82">
        <v>0</v>
      </c>
      <c r="H81" s="98">
        <f t="shared" si="8"/>
        <v>0</v>
      </c>
      <c r="I81" s="115"/>
      <c r="J81" s="115"/>
      <c r="K81" s="99" t="str">
        <f t="shared" si="9"/>
        <v/>
      </c>
      <c r="L81" s="87" t="str">
        <f t="shared" si="10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1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2">SUM(B58:B81)</f>
        <v>0</v>
      </c>
      <c r="C82" s="35">
        <f t="shared" si="12"/>
        <v>21784.880000000005</v>
      </c>
      <c r="D82" s="35">
        <f t="shared" si="12"/>
        <v>0.73</v>
      </c>
      <c r="E82" s="35">
        <f t="shared" si="12"/>
        <v>0</v>
      </c>
      <c r="F82" s="101">
        <f t="shared" si="12"/>
        <v>120403.01</v>
      </c>
      <c r="G82" s="35">
        <f t="shared" si="12"/>
        <v>0</v>
      </c>
      <c r="H82" s="102"/>
      <c r="I82" s="103"/>
      <c r="J82" s="104"/>
      <c r="K82" s="105" t="str">
        <f>IFERROR(AVERAGE(K58:K81),"")</f>
        <v/>
      </c>
      <c r="L82" s="40">
        <f t="shared" ref="L82:U82" si="13">SUM(L58:L81)</f>
        <v>0</v>
      </c>
      <c r="M82" s="40">
        <f t="shared" si="13"/>
        <v>0</v>
      </c>
      <c r="N82" s="39">
        <f t="shared" si="13"/>
        <v>0</v>
      </c>
      <c r="O82" s="39">
        <f t="shared" si="13"/>
        <v>0</v>
      </c>
      <c r="P82" s="39">
        <f t="shared" si="13"/>
        <v>0</v>
      </c>
      <c r="Q82" s="39">
        <f t="shared" si="13"/>
        <v>0</v>
      </c>
      <c r="R82" s="39">
        <f t="shared" si="13"/>
        <v>0</v>
      </c>
      <c r="S82" s="39">
        <f t="shared" si="13"/>
        <v>0</v>
      </c>
      <c r="T82" s="39">
        <f t="shared" si="13"/>
        <v>0</v>
      </c>
      <c r="U82" s="39">
        <f t="shared" si="13"/>
        <v>0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120403.01</v>
      </c>
      <c r="J87" s="41"/>
      <c r="K87" s="62" t="s">
        <v>59</v>
      </c>
      <c r="L87" s="113">
        <v>3925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</v>
      </c>
      <c r="B88" s="57">
        <v>1</v>
      </c>
      <c r="C88" s="57">
        <v>0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7617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 t="str">
        <f>IFERROR(3412.14/K82,"")</f>
        <v/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K90:L90"/>
    <mergeCell ref="B91:B92"/>
    <mergeCell ref="C91:I92"/>
    <mergeCell ref="K91:L91"/>
    <mergeCell ref="K92:L92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A85:A86"/>
    <mergeCell ref="B85:B86"/>
    <mergeCell ref="C85:C86"/>
    <mergeCell ref="D85:D86"/>
    <mergeCell ref="H85:I8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H41:H42"/>
    <mergeCell ref="I41:I42"/>
    <mergeCell ref="K44:L44"/>
    <mergeCell ref="C45:I46"/>
    <mergeCell ref="K45:L45"/>
    <mergeCell ref="K46:L46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A39:A40"/>
    <mergeCell ref="B39:B40"/>
    <mergeCell ref="C39:C40"/>
    <mergeCell ref="D39:D40"/>
    <mergeCell ref="H39:I40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1:C1"/>
    <mergeCell ref="D1:U2"/>
    <mergeCell ref="V1:X4"/>
    <mergeCell ref="A2:C2"/>
    <mergeCell ref="A3:C3"/>
    <mergeCell ref="D3:U4"/>
    <mergeCell ref="A4:C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F3770-CC02-436A-A00E-D99021CEF607}">
  <dimension ref="A1:Z109"/>
  <sheetViews>
    <sheetView topLeftCell="A50" zoomScale="90" zoomScaleNormal="90" workbookViewId="0">
      <selection activeCell="Q36" sqref="Q36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5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82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172460</v>
      </c>
      <c r="C12" s="28">
        <v>0</v>
      </c>
      <c r="D12" s="28">
        <v>20335.669999999998</v>
      </c>
      <c r="E12" s="28">
        <v>79.239999999999995</v>
      </c>
      <c r="F12" s="28">
        <v>79.94</v>
      </c>
      <c r="G12" s="28">
        <f t="shared" ref="G12:G35" si="0">+E12+F12</f>
        <v>159.18</v>
      </c>
      <c r="H12" s="28">
        <v>0</v>
      </c>
      <c r="I12" s="28">
        <v>0</v>
      </c>
      <c r="J12" s="112">
        <v>164</v>
      </c>
      <c r="K12" s="28">
        <f t="shared" ref="K12:K35" si="1">IF(J12=0,0,100*(G12-J12)/J12)</f>
        <v>-2.9390243902438984</v>
      </c>
      <c r="L12" s="28"/>
      <c r="M12" s="28"/>
      <c r="N12" s="28">
        <f t="shared" ref="N12:N35" si="2">IFERROR(V12*1000*2.2*$K$46/G12/1000,"")</f>
        <v>9274.7593918834009</v>
      </c>
      <c r="O12" s="28" t="str">
        <f t="shared" ref="O12:O35" si="3">IF(OR(K12&gt;5,K12&lt;-5),G12-J12,"")</f>
        <v/>
      </c>
      <c r="P12" s="28">
        <v>7.63</v>
      </c>
      <c r="Q12" s="28">
        <v>13.4</v>
      </c>
      <c r="R12" s="28">
        <v>17.41</v>
      </c>
      <c r="S12" s="28">
        <v>17.399999999999999</v>
      </c>
      <c r="T12" s="28">
        <v>17.399999999999999</v>
      </c>
      <c r="U12" s="28">
        <v>8.26</v>
      </c>
      <c r="V12" s="28">
        <f t="shared" ref="V12:V35" si="4">+SUM(P12:U12)</f>
        <v>81.5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172460</v>
      </c>
      <c r="C13" s="28">
        <v>0</v>
      </c>
      <c r="D13" s="28">
        <v>19959.740000000002</v>
      </c>
      <c r="E13" s="28">
        <v>79.09</v>
      </c>
      <c r="F13" s="28">
        <v>79.78</v>
      </c>
      <c r="G13" s="28">
        <f t="shared" si="0"/>
        <v>158.87</v>
      </c>
      <c r="H13" s="28">
        <v>0</v>
      </c>
      <c r="I13" s="28">
        <v>0</v>
      </c>
      <c r="J13" s="112">
        <v>164</v>
      </c>
      <c r="K13" s="28">
        <f t="shared" si="1"/>
        <v>-3.1280487804878021</v>
      </c>
      <c r="L13" s="28"/>
      <c r="M13" s="28"/>
      <c r="N13" s="28">
        <f t="shared" si="2"/>
        <v>9249.5283942846345</v>
      </c>
      <c r="O13" s="28" t="str">
        <f t="shared" si="3"/>
        <v/>
      </c>
      <c r="P13" s="28">
        <v>7.63</v>
      </c>
      <c r="Q13" s="28">
        <v>13.28</v>
      </c>
      <c r="R13" s="28">
        <v>17.28</v>
      </c>
      <c r="S13" s="28">
        <v>17.27</v>
      </c>
      <c r="T13" s="28">
        <v>17.27</v>
      </c>
      <c r="U13" s="28">
        <v>8.39</v>
      </c>
      <c r="V13" s="28">
        <f t="shared" si="4"/>
        <v>81.11999999999999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172460</v>
      </c>
      <c r="C14" s="28">
        <v>0</v>
      </c>
      <c r="D14" s="28">
        <v>20518.09</v>
      </c>
      <c r="E14" s="28">
        <v>79.040000000000006</v>
      </c>
      <c r="F14" s="28">
        <v>79.73</v>
      </c>
      <c r="G14" s="28">
        <f t="shared" si="0"/>
        <v>158.77000000000001</v>
      </c>
      <c r="H14" s="28">
        <v>0</v>
      </c>
      <c r="I14" s="28">
        <v>0</v>
      </c>
      <c r="J14" s="112">
        <v>164</v>
      </c>
      <c r="K14" s="28">
        <f t="shared" si="1"/>
        <v>-3.1890243902438962</v>
      </c>
      <c r="L14" s="28"/>
      <c r="M14" s="28"/>
      <c r="N14" s="28">
        <f t="shared" si="2"/>
        <v>9248.508458776847</v>
      </c>
      <c r="O14" s="28" t="str">
        <f t="shared" si="3"/>
        <v/>
      </c>
      <c r="P14" s="28">
        <v>7.62</v>
      </c>
      <c r="Q14" s="28">
        <v>13.22</v>
      </c>
      <c r="R14" s="28">
        <v>17.22</v>
      </c>
      <c r="S14" s="28">
        <v>17.23</v>
      </c>
      <c r="T14" s="28">
        <v>17.22</v>
      </c>
      <c r="U14" s="28">
        <v>8.5500000000000007</v>
      </c>
      <c r="V14" s="28">
        <f t="shared" si="4"/>
        <v>81.06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172460</v>
      </c>
      <c r="C15" s="28">
        <v>0</v>
      </c>
      <c r="D15" s="28">
        <v>21066.940000000002</v>
      </c>
      <c r="E15" s="28">
        <v>78.97</v>
      </c>
      <c r="F15" s="28">
        <v>79.650000000000006</v>
      </c>
      <c r="G15" s="28">
        <f t="shared" si="0"/>
        <v>158.62</v>
      </c>
      <c r="H15" s="28">
        <v>0</v>
      </c>
      <c r="I15" s="28">
        <v>0</v>
      </c>
      <c r="J15" s="112">
        <v>164</v>
      </c>
      <c r="K15" s="28">
        <f t="shared" si="1"/>
        <v>-3.2804878048780459</v>
      </c>
      <c r="L15" s="28" t="s">
        <v>83</v>
      </c>
      <c r="M15" s="28"/>
      <c r="N15" s="28">
        <f t="shared" si="2"/>
        <v>9261.8224687933416</v>
      </c>
      <c r="O15" s="28" t="str">
        <f t="shared" si="3"/>
        <v/>
      </c>
      <c r="P15" s="28">
        <v>7.51</v>
      </c>
      <c r="Q15" s="28">
        <v>13.27</v>
      </c>
      <c r="R15" s="28">
        <v>17.260000000000002</v>
      </c>
      <c r="S15" s="28">
        <v>17.27</v>
      </c>
      <c r="T15" s="28">
        <v>17.27</v>
      </c>
      <c r="U15" s="28">
        <v>8.52</v>
      </c>
      <c r="V15" s="28">
        <f t="shared" si="4"/>
        <v>81.099999999999994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172460</v>
      </c>
      <c r="C16" s="28">
        <v>0</v>
      </c>
      <c r="D16" s="28">
        <v>22524.46</v>
      </c>
      <c r="E16" s="28">
        <v>78.989999999999995</v>
      </c>
      <c r="F16" s="28">
        <v>79.680000000000007</v>
      </c>
      <c r="G16" s="28">
        <f t="shared" si="0"/>
        <v>158.67000000000002</v>
      </c>
      <c r="H16" s="28">
        <v>0</v>
      </c>
      <c r="I16" s="28">
        <v>0</v>
      </c>
      <c r="J16" s="112">
        <v>164</v>
      </c>
      <c r="K16" s="28">
        <f t="shared" si="1"/>
        <v>-3.2499999999999902</v>
      </c>
      <c r="L16" s="28" t="s">
        <v>83</v>
      </c>
      <c r="M16" s="28"/>
      <c r="N16" s="28">
        <f t="shared" si="2"/>
        <v>9225.7956009327499</v>
      </c>
      <c r="O16" s="28" t="str">
        <f t="shared" si="3"/>
        <v/>
      </c>
      <c r="P16" s="28">
        <v>7.36</v>
      </c>
      <c r="Q16" s="28">
        <v>13.24</v>
      </c>
      <c r="R16" s="28">
        <v>17.239999999999998</v>
      </c>
      <c r="S16" s="28">
        <v>17.239999999999998</v>
      </c>
      <c r="T16" s="28">
        <v>17.239999999999998</v>
      </c>
      <c r="U16" s="28">
        <v>8.49</v>
      </c>
      <c r="V16" s="28">
        <f t="shared" si="4"/>
        <v>80.809999999999988</v>
      </c>
      <c r="W16" s="28">
        <v>2.4333333333333562</v>
      </c>
      <c r="X16" s="28">
        <v>0</v>
      </c>
    </row>
    <row r="17" spans="1:26" ht="16.5" x14ac:dyDescent="0.3">
      <c r="A17" s="30">
        <v>6</v>
      </c>
      <c r="B17" s="28">
        <v>172460</v>
      </c>
      <c r="C17" s="28">
        <v>0</v>
      </c>
      <c r="D17" s="28">
        <v>21346.760000000002</v>
      </c>
      <c r="E17" s="28">
        <v>78.88</v>
      </c>
      <c r="F17" s="28">
        <v>79.58</v>
      </c>
      <c r="G17" s="28">
        <f t="shared" si="0"/>
        <v>158.45999999999998</v>
      </c>
      <c r="H17" s="28">
        <v>0</v>
      </c>
      <c r="I17" s="28">
        <v>0</v>
      </c>
      <c r="J17" s="112">
        <v>164</v>
      </c>
      <c r="K17" s="28">
        <f t="shared" si="1"/>
        <v>-3.3780487804878172</v>
      </c>
      <c r="L17" s="28" t="s">
        <v>83</v>
      </c>
      <c r="M17" s="28"/>
      <c r="N17" s="28">
        <f t="shared" si="2"/>
        <v>9217.4449324750731</v>
      </c>
      <c r="O17" s="28" t="str">
        <f t="shared" si="3"/>
        <v/>
      </c>
      <c r="P17" s="28">
        <v>7.38</v>
      </c>
      <c r="Q17" s="28">
        <v>13.24</v>
      </c>
      <c r="R17" s="28">
        <v>17.23</v>
      </c>
      <c r="S17" s="28">
        <v>17.23</v>
      </c>
      <c r="T17" s="28">
        <v>17.23</v>
      </c>
      <c r="U17" s="28">
        <v>8.32</v>
      </c>
      <c r="V17" s="28">
        <f t="shared" si="4"/>
        <v>80.63</v>
      </c>
      <c r="W17" s="28">
        <v>2.4333333333333562</v>
      </c>
      <c r="X17" s="28">
        <v>0</v>
      </c>
    </row>
    <row r="18" spans="1:26" ht="16.5" customHeight="1" x14ac:dyDescent="0.3">
      <c r="A18" s="30">
        <v>7</v>
      </c>
      <c r="B18" s="28">
        <v>172460</v>
      </c>
      <c r="C18" s="28">
        <v>28.84</v>
      </c>
      <c r="D18" s="28">
        <v>6314.66</v>
      </c>
      <c r="E18" s="28">
        <v>79.010000000000005</v>
      </c>
      <c r="F18" s="28">
        <v>79.72</v>
      </c>
      <c r="G18" s="28">
        <f t="shared" si="0"/>
        <v>158.73000000000002</v>
      </c>
      <c r="H18" s="28">
        <v>0</v>
      </c>
      <c r="I18" s="28">
        <v>0</v>
      </c>
      <c r="J18" s="112">
        <v>164</v>
      </c>
      <c r="K18" s="28">
        <f t="shared" si="1"/>
        <v>-3.2134146341463303</v>
      </c>
      <c r="L18" s="28" t="s">
        <v>84</v>
      </c>
      <c r="M18" s="28"/>
      <c r="N18" s="28">
        <f t="shared" si="2"/>
        <v>9196.059875259878</v>
      </c>
      <c r="O18" s="28" t="str">
        <f t="shared" si="3"/>
        <v/>
      </c>
      <c r="P18" s="28">
        <v>7.5</v>
      </c>
      <c r="Q18" s="28">
        <v>13.24</v>
      </c>
      <c r="R18" s="28">
        <v>17.239999999999998</v>
      </c>
      <c r="S18" s="28">
        <v>17.23</v>
      </c>
      <c r="T18" s="28">
        <v>17.23</v>
      </c>
      <c r="U18" s="28">
        <v>8.14</v>
      </c>
      <c r="V18" s="28">
        <f t="shared" si="4"/>
        <v>80.580000000000013</v>
      </c>
      <c r="W18" s="28">
        <v>2.4333333333333562</v>
      </c>
      <c r="X18" s="28">
        <v>0</v>
      </c>
    </row>
    <row r="19" spans="1:26" ht="16.5" customHeight="1" x14ac:dyDescent="0.3">
      <c r="A19" s="30">
        <v>8</v>
      </c>
      <c r="B19" s="28">
        <v>172460</v>
      </c>
      <c r="C19" s="28">
        <v>602.52</v>
      </c>
      <c r="D19" s="28">
        <v>2928.6499999999996</v>
      </c>
      <c r="E19" s="28">
        <v>72.42</v>
      </c>
      <c r="F19" s="28">
        <v>73.09</v>
      </c>
      <c r="G19" s="28">
        <f t="shared" si="0"/>
        <v>145.51</v>
      </c>
      <c r="H19" s="28">
        <v>0</v>
      </c>
      <c r="I19" s="28">
        <v>0</v>
      </c>
      <c r="J19" s="112">
        <v>164</v>
      </c>
      <c r="K19" s="28">
        <f t="shared" si="1"/>
        <v>-11.274390243902445</v>
      </c>
      <c r="L19" s="28" t="s">
        <v>84</v>
      </c>
      <c r="M19" s="28"/>
      <c r="N19" s="28">
        <f t="shared" si="2"/>
        <v>9011.9604975603052</v>
      </c>
      <c r="O19" s="28">
        <f t="shared" si="3"/>
        <v>-18.490000000000009</v>
      </c>
      <c r="P19" s="28">
        <v>7.61</v>
      </c>
      <c r="Q19" s="28">
        <v>11.17</v>
      </c>
      <c r="R19" s="28">
        <v>15.16</v>
      </c>
      <c r="S19" s="28">
        <v>15.16</v>
      </c>
      <c r="T19" s="28">
        <v>15.17</v>
      </c>
      <c r="U19" s="28">
        <v>8.1199999999999992</v>
      </c>
      <c r="V19" s="28">
        <f t="shared" si="4"/>
        <v>72.39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172460</v>
      </c>
      <c r="C20" s="28">
        <v>4500.91</v>
      </c>
      <c r="D20" s="28">
        <v>2.44</v>
      </c>
      <c r="E20" s="28">
        <v>48.76</v>
      </c>
      <c r="F20" s="28">
        <v>49.22</v>
      </c>
      <c r="G20" s="28">
        <f t="shared" si="0"/>
        <v>97.97999999999999</v>
      </c>
      <c r="H20" s="28">
        <v>0</v>
      </c>
      <c r="I20" s="28">
        <v>0</v>
      </c>
      <c r="J20" s="112">
        <v>90</v>
      </c>
      <c r="K20" s="28">
        <f t="shared" si="1"/>
        <v>8.8666666666666547</v>
      </c>
      <c r="L20" s="28" t="s">
        <v>85</v>
      </c>
      <c r="M20" s="28"/>
      <c r="N20" s="28">
        <f t="shared" si="2"/>
        <v>9954.0807511737112</v>
      </c>
      <c r="O20" s="28">
        <f t="shared" si="3"/>
        <v>7.9799999999999898</v>
      </c>
      <c r="P20" s="28">
        <v>7.89</v>
      </c>
      <c r="Q20" s="28">
        <v>6.46</v>
      </c>
      <c r="R20" s="28">
        <v>10.44</v>
      </c>
      <c r="S20" s="28">
        <v>10.44</v>
      </c>
      <c r="T20" s="28">
        <v>10.45</v>
      </c>
      <c r="U20" s="28">
        <v>8.16</v>
      </c>
      <c r="V20" s="28">
        <f t="shared" si="4"/>
        <v>53.839999999999989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172460</v>
      </c>
      <c r="C21" s="28">
        <v>7698</v>
      </c>
      <c r="D21" s="28">
        <v>0</v>
      </c>
      <c r="E21" s="28">
        <v>46.16</v>
      </c>
      <c r="F21" s="28">
        <v>46.6</v>
      </c>
      <c r="G21" s="28">
        <f t="shared" si="0"/>
        <v>92.759999999999991</v>
      </c>
      <c r="H21" s="28">
        <v>0</v>
      </c>
      <c r="I21" s="28">
        <v>0</v>
      </c>
      <c r="J21" s="112">
        <v>90</v>
      </c>
      <c r="K21" s="28">
        <f t="shared" si="1"/>
        <v>3.0666666666666567</v>
      </c>
      <c r="L21" s="28"/>
      <c r="M21" s="28"/>
      <c r="N21" s="28">
        <f t="shared" si="2"/>
        <v>10334.575420439849</v>
      </c>
      <c r="O21" s="28" t="str">
        <f t="shared" si="3"/>
        <v/>
      </c>
      <c r="P21" s="28">
        <v>7.87</v>
      </c>
      <c r="Q21" s="28">
        <v>6.22</v>
      </c>
      <c r="R21" s="28">
        <v>10.24</v>
      </c>
      <c r="S21" s="28">
        <v>10.23</v>
      </c>
      <c r="T21" s="28">
        <v>10.23</v>
      </c>
      <c r="U21" s="28">
        <v>8.1300000000000008</v>
      </c>
      <c r="V21" s="28">
        <f t="shared" si="4"/>
        <v>52.920000000000009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172460</v>
      </c>
      <c r="C22" s="28">
        <v>9340.4599999999991</v>
      </c>
      <c r="D22" s="28">
        <v>0</v>
      </c>
      <c r="E22" s="28">
        <v>46.15</v>
      </c>
      <c r="F22" s="28">
        <v>46.58</v>
      </c>
      <c r="G22" s="28">
        <f t="shared" si="0"/>
        <v>92.72999999999999</v>
      </c>
      <c r="H22" s="28">
        <v>0</v>
      </c>
      <c r="I22" s="28">
        <v>0</v>
      </c>
      <c r="J22" s="112">
        <v>90</v>
      </c>
      <c r="K22" s="28">
        <f t="shared" si="1"/>
        <v>3.0333333333333221</v>
      </c>
      <c r="L22" s="28"/>
      <c r="M22" s="28"/>
      <c r="N22" s="28">
        <f t="shared" si="2"/>
        <v>10337.918861209966</v>
      </c>
      <c r="O22" s="28" t="str">
        <f t="shared" si="3"/>
        <v/>
      </c>
      <c r="P22" s="28">
        <v>8.02</v>
      </c>
      <c r="Q22" s="28">
        <v>6.16</v>
      </c>
      <c r="R22" s="28">
        <v>10.18</v>
      </c>
      <c r="S22" s="28">
        <v>10.16</v>
      </c>
      <c r="T22" s="28">
        <v>10.18</v>
      </c>
      <c r="U22" s="28">
        <v>8.2200000000000006</v>
      </c>
      <c r="V22" s="28">
        <f t="shared" si="4"/>
        <v>52.919999999999995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172460</v>
      </c>
      <c r="C23" s="28">
        <v>10289.880000000001</v>
      </c>
      <c r="D23" s="28">
        <v>0</v>
      </c>
      <c r="E23" s="28">
        <v>46.21</v>
      </c>
      <c r="F23" s="28">
        <v>46.66</v>
      </c>
      <c r="G23" s="28">
        <f t="shared" si="0"/>
        <v>92.87</v>
      </c>
      <c r="H23" s="28">
        <v>0</v>
      </c>
      <c r="I23" s="28">
        <v>0</v>
      </c>
      <c r="J23" s="112">
        <v>90</v>
      </c>
      <c r="K23" s="28">
        <f t="shared" si="1"/>
        <v>3.188888888888894</v>
      </c>
      <c r="L23" s="28"/>
      <c r="M23" s="28"/>
      <c r="N23" s="28">
        <f t="shared" si="2"/>
        <v>10367.197372671477</v>
      </c>
      <c r="O23" s="28" t="str">
        <f t="shared" si="3"/>
        <v/>
      </c>
      <c r="P23" s="28">
        <v>8.06</v>
      </c>
      <c r="Q23" s="28">
        <v>6.22</v>
      </c>
      <c r="R23" s="28">
        <v>10.210000000000001</v>
      </c>
      <c r="S23" s="28">
        <v>10.23</v>
      </c>
      <c r="T23" s="28">
        <v>10.220000000000001</v>
      </c>
      <c r="U23" s="28">
        <v>8.2100000000000009</v>
      </c>
      <c r="V23" s="28">
        <f t="shared" si="4"/>
        <v>53.15</v>
      </c>
      <c r="W23" s="28">
        <v>2.4333333333333562</v>
      </c>
      <c r="X23" s="28">
        <v>0</v>
      </c>
    </row>
    <row r="24" spans="1:26" ht="16.5" x14ac:dyDescent="0.3">
      <c r="A24" s="30">
        <v>13</v>
      </c>
      <c r="B24" s="28">
        <v>172460</v>
      </c>
      <c r="C24" s="28">
        <v>9919.58</v>
      </c>
      <c r="D24" s="28">
        <v>0</v>
      </c>
      <c r="E24" s="28">
        <v>46.24</v>
      </c>
      <c r="F24" s="28">
        <v>46.69</v>
      </c>
      <c r="G24" s="28">
        <f t="shared" si="0"/>
        <v>92.93</v>
      </c>
      <c r="H24" s="28">
        <v>0</v>
      </c>
      <c r="I24" s="28">
        <v>0</v>
      </c>
      <c r="J24" s="112">
        <v>90</v>
      </c>
      <c r="K24" s="28">
        <f t="shared" si="1"/>
        <v>3.2555555555555631</v>
      </c>
      <c r="L24" s="28"/>
      <c r="M24" s="28"/>
      <c r="N24" s="28">
        <f t="shared" si="2"/>
        <v>10418.98267513182</v>
      </c>
      <c r="O24" s="28" t="str">
        <f t="shared" si="3"/>
        <v/>
      </c>
      <c r="P24" s="28">
        <v>8.19</v>
      </c>
      <c r="Q24" s="28">
        <v>6.24</v>
      </c>
      <c r="R24" s="28">
        <v>10.23</v>
      </c>
      <c r="S24" s="28">
        <v>10.26</v>
      </c>
      <c r="T24" s="28">
        <v>10.25</v>
      </c>
      <c r="U24" s="28">
        <v>8.2799999999999994</v>
      </c>
      <c r="V24" s="28">
        <f t="shared" si="4"/>
        <v>53.45</v>
      </c>
      <c r="W24" s="28">
        <v>2.4333333333333562</v>
      </c>
      <c r="X24" s="28">
        <v>0</v>
      </c>
    </row>
    <row r="25" spans="1:26" ht="16.5" x14ac:dyDescent="0.3">
      <c r="A25" s="30">
        <v>14</v>
      </c>
      <c r="B25" s="28">
        <v>172460</v>
      </c>
      <c r="C25" s="28">
        <v>11651.15</v>
      </c>
      <c r="D25" s="28">
        <v>0</v>
      </c>
      <c r="E25" s="28">
        <v>46.2</v>
      </c>
      <c r="F25" s="28">
        <v>46.64</v>
      </c>
      <c r="G25" s="28">
        <f t="shared" si="0"/>
        <v>92.84</v>
      </c>
      <c r="H25" s="28">
        <v>0</v>
      </c>
      <c r="I25" s="28">
        <v>0</v>
      </c>
      <c r="J25" s="112">
        <v>90</v>
      </c>
      <c r="K25" s="28">
        <f t="shared" si="1"/>
        <v>3.1555555555555594</v>
      </c>
      <c r="L25" s="28"/>
      <c r="M25" s="28"/>
      <c r="N25" s="28">
        <f t="shared" si="2"/>
        <v>10470.057819905214</v>
      </c>
      <c r="O25" s="28" t="str">
        <f t="shared" si="3"/>
        <v/>
      </c>
      <c r="P25" s="28">
        <v>8.11</v>
      </c>
      <c r="Q25" s="28">
        <v>6.27</v>
      </c>
      <c r="R25" s="28">
        <v>10.28</v>
      </c>
      <c r="S25" s="28">
        <v>10.27</v>
      </c>
      <c r="T25" s="28">
        <v>10.28</v>
      </c>
      <c r="U25" s="28">
        <v>8.4499999999999993</v>
      </c>
      <c r="V25" s="28">
        <f t="shared" si="4"/>
        <v>53.66</v>
      </c>
      <c r="W25" s="28">
        <v>2.4333333333333562</v>
      </c>
      <c r="X25" s="28">
        <v>0</v>
      </c>
    </row>
    <row r="26" spans="1:26" ht="16.5" x14ac:dyDescent="0.3">
      <c r="A26" s="30">
        <v>15</v>
      </c>
      <c r="B26" s="28">
        <v>172460</v>
      </c>
      <c r="C26" s="28">
        <v>14094.89</v>
      </c>
      <c r="D26" s="28">
        <v>0</v>
      </c>
      <c r="E26" s="28">
        <v>46.15</v>
      </c>
      <c r="F26" s="28">
        <v>46.59</v>
      </c>
      <c r="G26" s="28">
        <f t="shared" si="0"/>
        <v>92.740000000000009</v>
      </c>
      <c r="H26" s="28">
        <v>0</v>
      </c>
      <c r="I26" s="28">
        <v>0</v>
      </c>
      <c r="J26" s="112">
        <v>90</v>
      </c>
      <c r="K26" s="28">
        <f t="shared" si="1"/>
        <v>3.0444444444444545</v>
      </c>
      <c r="L26" s="28"/>
      <c r="M26" s="28"/>
      <c r="N26" s="28">
        <f t="shared" si="2"/>
        <v>10481.347509165409</v>
      </c>
      <c r="O26" s="28" t="str">
        <f t="shared" si="3"/>
        <v/>
      </c>
      <c r="P26" s="28">
        <v>8.08</v>
      </c>
      <c r="Q26" s="28">
        <v>6.29</v>
      </c>
      <c r="R26" s="28">
        <v>10.27</v>
      </c>
      <c r="S26" s="28">
        <v>10.26</v>
      </c>
      <c r="T26" s="28">
        <v>10.27</v>
      </c>
      <c r="U26" s="28">
        <v>8.49</v>
      </c>
      <c r="V26" s="28">
        <f t="shared" si="4"/>
        <v>53.660000000000004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172460</v>
      </c>
      <c r="C27" s="28">
        <v>12026.11</v>
      </c>
      <c r="D27" s="28">
        <v>0</v>
      </c>
      <c r="E27" s="28">
        <v>46.18</v>
      </c>
      <c r="F27" s="28">
        <v>46.62</v>
      </c>
      <c r="G27" s="28">
        <f t="shared" si="0"/>
        <v>92.8</v>
      </c>
      <c r="H27" s="28">
        <v>0</v>
      </c>
      <c r="I27" s="28">
        <v>0</v>
      </c>
      <c r="J27" s="112">
        <v>90</v>
      </c>
      <c r="K27" s="28">
        <f t="shared" si="1"/>
        <v>3.1111111111111081</v>
      </c>
      <c r="L27" s="28"/>
      <c r="M27" s="28"/>
      <c r="N27" s="28">
        <f t="shared" si="2"/>
        <v>10478.474827586209</v>
      </c>
      <c r="O27" s="28" t="str">
        <f t="shared" si="3"/>
        <v/>
      </c>
      <c r="P27" s="28">
        <v>8.32</v>
      </c>
      <c r="Q27" s="28">
        <v>6.19</v>
      </c>
      <c r="R27" s="28">
        <v>10.23</v>
      </c>
      <c r="S27" s="28">
        <v>10.210000000000001</v>
      </c>
      <c r="T27" s="28">
        <v>10.220000000000001</v>
      </c>
      <c r="U27" s="28">
        <v>8.51</v>
      </c>
      <c r="V27" s="28">
        <f t="shared" si="4"/>
        <v>53.68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172460</v>
      </c>
      <c r="C28" s="28">
        <v>13080.240000000002</v>
      </c>
      <c r="D28" s="28">
        <v>0</v>
      </c>
      <c r="E28" s="28">
        <v>45.59</v>
      </c>
      <c r="F28" s="28">
        <v>46.03</v>
      </c>
      <c r="G28" s="28">
        <f t="shared" si="0"/>
        <v>91.62</v>
      </c>
      <c r="H28" s="28">
        <v>0</v>
      </c>
      <c r="I28" s="28">
        <v>0</v>
      </c>
      <c r="J28" s="112">
        <v>90</v>
      </c>
      <c r="K28" s="28">
        <f t="shared" si="1"/>
        <v>1.8000000000000052</v>
      </c>
      <c r="L28" s="28"/>
      <c r="M28" s="28"/>
      <c r="N28" s="28">
        <f t="shared" si="2"/>
        <v>10858.598733900895</v>
      </c>
      <c r="O28" s="28" t="str">
        <f t="shared" si="3"/>
        <v/>
      </c>
      <c r="P28" s="28">
        <v>8.3699999999999992</v>
      </c>
      <c r="Q28" s="28">
        <v>6.51</v>
      </c>
      <c r="R28" s="28">
        <v>10.51</v>
      </c>
      <c r="S28" s="28">
        <v>10.51</v>
      </c>
      <c r="T28" s="28">
        <v>10.51</v>
      </c>
      <c r="U28" s="28">
        <v>8.51</v>
      </c>
      <c r="V28" s="28">
        <f t="shared" si="4"/>
        <v>54.919999999999995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172460</v>
      </c>
      <c r="C29" s="28">
        <v>11719.11</v>
      </c>
      <c r="D29" s="28">
        <v>0</v>
      </c>
      <c r="E29" s="28">
        <v>58.98</v>
      </c>
      <c r="F29" s="28">
        <v>59.52</v>
      </c>
      <c r="G29" s="28">
        <f t="shared" si="0"/>
        <v>118.5</v>
      </c>
      <c r="H29" s="28">
        <v>0</v>
      </c>
      <c r="I29" s="28">
        <v>0</v>
      </c>
      <c r="J29" s="112">
        <v>164</v>
      </c>
      <c r="K29" s="28">
        <f t="shared" si="1"/>
        <v>-27.743902439024389</v>
      </c>
      <c r="L29" s="28" t="s">
        <v>85</v>
      </c>
      <c r="M29" s="28"/>
      <c r="N29" s="28">
        <f t="shared" si="2"/>
        <v>10138.17329957806</v>
      </c>
      <c r="O29" s="28">
        <f t="shared" si="3"/>
        <v>-45.5</v>
      </c>
      <c r="P29" s="28">
        <v>8.2100000000000009</v>
      </c>
      <c r="Q29" s="28">
        <v>9.43</v>
      </c>
      <c r="R29" s="28">
        <v>13.43</v>
      </c>
      <c r="S29" s="28">
        <v>13.44</v>
      </c>
      <c r="T29" s="28">
        <v>13.43</v>
      </c>
      <c r="U29" s="28">
        <v>8.3800000000000008</v>
      </c>
      <c r="V29" s="28">
        <f t="shared" si="4"/>
        <v>66.319999999999993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172460</v>
      </c>
      <c r="C30" s="28">
        <v>3355.9399999999996</v>
      </c>
      <c r="D30" s="28">
        <v>7184.7000000000007</v>
      </c>
      <c r="E30" s="28">
        <v>75.33</v>
      </c>
      <c r="F30" s="28">
        <v>76</v>
      </c>
      <c r="G30" s="28">
        <f t="shared" si="0"/>
        <v>151.32999999999998</v>
      </c>
      <c r="H30" s="28">
        <v>0</v>
      </c>
      <c r="I30" s="28">
        <v>0</v>
      </c>
      <c r="J30" s="112">
        <v>164</v>
      </c>
      <c r="K30" s="28">
        <f t="shared" si="1"/>
        <v>-7.7256097560975707</v>
      </c>
      <c r="L30" s="28" t="s">
        <v>85</v>
      </c>
      <c r="M30" s="28"/>
      <c r="N30" s="28">
        <f t="shared" si="2"/>
        <v>9631.3804797462508</v>
      </c>
      <c r="O30" s="28">
        <f t="shared" si="3"/>
        <v>-12.670000000000016</v>
      </c>
      <c r="P30" s="28">
        <v>8.07</v>
      </c>
      <c r="Q30" s="28">
        <v>13.07</v>
      </c>
      <c r="R30" s="28">
        <v>17.079999999999998</v>
      </c>
      <c r="S30" s="28">
        <v>17.079999999999998</v>
      </c>
      <c r="T30" s="28">
        <v>17.079999999999998</v>
      </c>
      <c r="U30" s="28">
        <v>8.08</v>
      </c>
      <c r="V30" s="28">
        <f t="shared" si="4"/>
        <v>80.459999999999994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172460</v>
      </c>
      <c r="C31" s="28">
        <v>0</v>
      </c>
      <c r="D31" s="28">
        <v>14348.810000000001</v>
      </c>
      <c r="E31" s="28">
        <v>78.83</v>
      </c>
      <c r="F31" s="28">
        <v>79.53</v>
      </c>
      <c r="G31" s="28">
        <f t="shared" si="0"/>
        <v>158.36000000000001</v>
      </c>
      <c r="H31" s="28">
        <v>0</v>
      </c>
      <c r="I31" s="28">
        <v>0</v>
      </c>
      <c r="J31" s="112">
        <v>164</v>
      </c>
      <c r="K31" s="28">
        <f t="shared" si="1"/>
        <v>-3.4390243902438939</v>
      </c>
      <c r="L31" s="28" t="s">
        <v>85</v>
      </c>
      <c r="M31" s="28"/>
      <c r="N31" s="28">
        <f t="shared" si="2"/>
        <v>9327.3603940388966</v>
      </c>
      <c r="O31" s="28" t="str">
        <f t="shared" si="3"/>
        <v/>
      </c>
      <c r="P31" s="28">
        <v>7.85</v>
      </c>
      <c r="Q31" s="28">
        <v>13.41</v>
      </c>
      <c r="R31" s="28">
        <v>17.399999999999999</v>
      </c>
      <c r="S31" s="28">
        <v>17.399999999999999</v>
      </c>
      <c r="T31" s="28">
        <v>17.399999999999999</v>
      </c>
      <c r="U31" s="28">
        <v>8.08</v>
      </c>
      <c r="V31" s="28">
        <f t="shared" si="4"/>
        <v>81.539999999999992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172460</v>
      </c>
      <c r="C32" s="28">
        <v>0</v>
      </c>
      <c r="D32" s="28">
        <v>12932.470000000001</v>
      </c>
      <c r="E32" s="28">
        <v>78.599999999999994</v>
      </c>
      <c r="F32" s="28">
        <v>79.33</v>
      </c>
      <c r="G32" s="28">
        <f t="shared" si="0"/>
        <v>157.93</v>
      </c>
      <c r="H32" s="28">
        <v>0</v>
      </c>
      <c r="I32" s="28">
        <v>0</v>
      </c>
      <c r="J32" s="112">
        <v>164</v>
      </c>
      <c r="K32" s="28">
        <f t="shared" si="1"/>
        <v>-3.7012195121951179</v>
      </c>
      <c r="L32" s="28"/>
      <c r="M32" s="28"/>
      <c r="N32" s="28">
        <f t="shared" si="2"/>
        <v>9363.0793642753124</v>
      </c>
      <c r="O32" s="28" t="str">
        <f t="shared" si="3"/>
        <v/>
      </c>
      <c r="P32" s="28">
        <v>7.79</v>
      </c>
      <c r="Q32" s="28">
        <v>13.41</v>
      </c>
      <c r="R32" s="28">
        <v>17.399999999999999</v>
      </c>
      <c r="S32" s="28">
        <v>17.399999999999999</v>
      </c>
      <c r="T32" s="28">
        <v>17.399999999999999</v>
      </c>
      <c r="U32" s="28">
        <v>8.23</v>
      </c>
      <c r="V32" s="28">
        <f t="shared" si="4"/>
        <v>81.63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172460</v>
      </c>
      <c r="C33" s="28">
        <v>0</v>
      </c>
      <c r="D33" s="28">
        <v>10124.799999999999</v>
      </c>
      <c r="E33" s="28">
        <v>78.72</v>
      </c>
      <c r="F33" s="28">
        <v>79.45</v>
      </c>
      <c r="G33" s="28">
        <f t="shared" si="0"/>
        <v>158.17000000000002</v>
      </c>
      <c r="H33" s="28">
        <v>0</v>
      </c>
      <c r="I33" s="28">
        <v>0</v>
      </c>
      <c r="J33" s="112">
        <v>163.9</v>
      </c>
      <c r="K33" s="28">
        <f t="shared" si="1"/>
        <v>-3.4960341671751003</v>
      </c>
      <c r="L33" s="28"/>
      <c r="M33" s="28"/>
      <c r="N33" s="28">
        <f t="shared" si="2"/>
        <v>9353.4533476639044</v>
      </c>
      <c r="O33" s="28" t="str">
        <f t="shared" si="3"/>
        <v/>
      </c>
      <c r="P33" s="28">
        <v>7.86</v>
      </c>
      <c r="Q33" s="28">
        <v>13.4</v>
      </c>
      <c r="R33" s="28">
        <v>17.399999999999999</v>
      </c>
      <c r="S33" s="28">
        <v>17.399999999999999</v>
      </c>
      <c r="T33" s="28">
        <v>17.399999999999999</v>
      </c>
      <c r="U33" s="28">
        <v>8.2100000000000009</v>
      </c>
      <c r="V33" s="28">
        <f t="shared" si="4"/>
        <v>81.669999999999987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172460</v>
      </c>
      <c r="C34" s="28">
        <v>0</v>
      </c>
      <c r="D34" s="28">
        <v>15272.07</v>
      </c>
      <c r="E34" s="28">
        <v>79.53</v>
      </c>
      <c r="F34" s="28">
        <v>80.239999999999995</v>
      </c>
      <c r="G34" s="28">
        <f t="shared" si="0"/>
        <v>159.76999999999998</v>
      </c>
      <c r="H34" s="28">
        <v>0</v>
      </c>
      <c r="I34" s="28">
        <v>0</v>
      </c>
      <c r="J34" s="112">
        <v>164</v>
      </c>
      <c r="K34" s="28">
        <f t="shared" si="1"/>
        <v>-2.5792682926829378</v>
      </c>
      <c r="L34" s="28"/>
      <c r="M34" s="28"/>
      <c r="N34" s="28">
        <f t="shared" si="2"/>
        <v>9284.7278713150154</v>
      </c>
      <c r="O34" s="28" t="str">
        <f t="shared" si="3"/>
        <v/>
      </c>
      <c r="P34" s="28">
        <v>7.91</v>
      </c>
      <c r="Q34" s="28">
        <v>13.41</v>
      </c>
      <c r="R34" s="28">
        <v>17.41</v>
      </c>
      <c r="S34" s="28">
        <v>17.41</v>
      </c>
      <c r="T34" s="28">
        <v>17.399999999999999</v>
      </c>
      <c r="U34" s="28">
        <v>8.35</v>
      </c>
      <c r="V34" s="28">
        <f t="shared" si="4"/>
        <v>81.889999999999986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172460</v>
      </c>
      <c r="C35" s="28">
        <v>0</v>
      </c>
      <c r="D35" s="28">
        <v>21556.36</v>
      </c>
      <c r="E35" s="28">
        <v>79.73</v>
      </c>
      <c r="F35" s="28">
        <v>80.45</v>
      </c>
      <c r="G35" s="28">
        <f t="shared" si="0"/>
        <v>160.18</v>
      </c>
      <c r="H35" s="28">
        <v>0</v>
      </c>
      <c r="I35" s="28">
        <v>0</v>
      </c>
      <c r="J35" s="112">
        <v>164</v>
      </c>
      <c r="K35" s="116">
        <f t="shared" si="1"/>
        <v>-2.3292682926829227</v>
      </c>
      <c r="L35" s="116"/>
      <c r="M35" s="117"/>
      <c r="N35" s="28">
        <f t="shared" si="2"/>
        <v>9251.9152703208874</v>
      </c>
      <c r="O35" s="28" t="str">
        <f t="shared" si="3"/>
        <v/>
      </c>
      <c r="P35" s="28">
        <v>7.91</v>
      </c>
      <c r="Q35" s="28">
        <v>13.39</v>
      </c>
      <c r="R35" s="28">
        <v>17.399999999999999</v>
      </c>
      <c r="S35" s="28">
        <v>17.41</v>
      </c>
      <c r="T35" s="28">
        <v>17.399999999999999</v>
      </c>
      <c r="U35" s="28">
        <v>8.3000000000000007</v>
      </c>
      <c r="V35" s="28">
        <f t="shared" si="4"/>
        <v>81.809999999999988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 t="shared" ref="B36:J36" si="5">SUM(B12:B35)</f>
        <v>4139040</v>
      </c>
      <c r="C36" s="35">
        <f t="shared" si="5"/>
        <v>108307.63000000002</v>
      </c>
      <c r="D36" s="35">
        <f t="shared" si="5"/>
        <v>216416.62</v>
      </c>
      <c r="E36" s="35">
        <f t="shared" si="5"/>
        <v>1572.9999999999998</v>
      </c>
      <c r="F36" s="35">
        <f t="shared" si="5"/>
        <v>1587.3200000000002</v>
      </c>
      <c r="G36" s="35">
        <f t="shared" si="5"/>
        <v>3160.3199999999997</v>
      </c>
      <c r="H36" s="35">
        <f t="shared" si="5"/>
        <v>0</v>
      </c>
      <c r="I36" s="35">
        <f t="shared" si="5"/>
        <v>0</v>
      </c>
      <c r="J36" s="35">
        <f t="shared" si="5"/>
        <v>3269.9</v>
      </c>
      <c r="K36" s="36"/>
      <c r="L36" s="37"/>
      <c r="M36" s="38"/>
      <c r="N36" s="35">
        <f>IFERROR(AVERAGE(N12:N35),"")</f>
        <v>9739.0501507537138</v>
      </c>
      <c r="O36" s="39">
        <f t="shared" ref="O36" si="6">SUM(O12:O35)</f>
        <v>-68.680000000000035</v>
      </c>
      <c r="P36" s="39">
        <f>SUM(P12:P35)</f>
        <v>188.75</v>
      </c>
      <c r="Q36" s="39">
        <f t="shared" ref="Q36:U36" si="7">SUM(Q12:Q35)</f>
        <v>250.14</v>
      </c>
      <c r="R36" s="39">
        <f t="shared" si="7"/>
        <v>346.14999999999992</v>
      </c>
      <c r="S36" s="39">
        <f t="shared" si="7"/>
        <v>346.13999999999993</v>
      </c>
      <c r="T36" s="39">
        <f t="shared" si="7"/>
        <v>346.14999999999986</v>
      </c>
      <c r="U36" s="39">
        <f t="shared" si="7"/>
        <v>199.38</v>
      </c>
      <c r="V36" s="39">
        <f>SUM(V12:V35)</f>
        <v>1676.7099999999996</v>
      </c>
      <c r="W36" s="40">
        <f>SUM(W12:W35)</f>
        <v>14.600000000000138</v>
      </c>
      <c r="X36" s="40">
        <f>SUM(X12:X35)</f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0</v>
      </c>
      <c r="J41" s="41"/>
      <c r="K41" s="13" t="s">
        <v>59</v>
      </c>
      <c r="L41" s="113">
        <v>405101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1</v>
      </c>
      <c r="B42" s="57">
        <v>0</v>
      </c>
      <c r="C42" s="57">
        <v>0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175996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>
        <f>IFERROR(3412.14/N36,"")</f>
        <v>0.35035654886076661</v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5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Amarildo Reales Silvera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913.21</v>
      </c>
      <c r="D58" s="81">
        <v>0</v>
      </c>
      <c r="E58" s="82">
        <v>0</v>
      </c>
      <c r="F58" s="83">
        <v>5100.29</v>
      </c>
      <c r="G58" s="82">
        <v>0</v>
      </c>
      <c r="H58" s="84">
        <f t="shared" ref="H58:H81" si="8">IF(G58=0,0,100*(E58-G58)/G58)</f>
        <v>0</v>
      </c>
      <c r="I58" s="85"/>
      <c r="J58" s="85"/>
      <c r="K58" s="86" t="str">
        <f t="shared" ref="K58:K81" si="9">IFERROR(U58*1000*2.2*$K$92/E58/1000,"")</f>
        <v/>
      </c>
      <c r="L58" s="87" t="str">
        <f t="shared" ref="L58:L81" si="10">IF(OR(H58&gt;5,H58&lt;-5),E58-G58,"")</f>
        <v/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929.46</v>
      </c>
      <c r="D59" s="81">
        <v>0</v>
      </c>
      <c r="E59" s="82">
        <v>0</v>
      </c>
      <c r="F59" s="82">
        <v>5087.75</v>
      </c>
      <c r="G59" s="82">
        <v>0</v>
      </c>
      <c r="H59" s="91">
        <f t="shared" si="8"/>
        <v>0</v>
      </c>
      <c r="I59" s="85"/>
      <c r="J59" s="85"/>
      <c r="K59" s="86" t="str">
        <f t="shared" si="9"/>
        <v/>
      </c>
      <c r="L59" s="87" t="str">
        <f t="shared" si="10"/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11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933.5</v>
      </c>
      <c r="D60" s="81">
        <v>0</v>
      </c>
      <c r="E60" s="82">
        <v>0</v>
      </c>
      <c r="F60" s="82">
        <v>5098.47</v>
      </c>
      <c r="G60" s="82">
        <v>0</v>
      </c>
      <c r="H60" s="91">
        <f t="shared" si="8"/>
        <v>0</v>
      </c>
      <c r="I60" s="85"/>
      <c r="J60" s="85"/>
      <c r="K60" s="86" t="str">
        <f t="shared" si="9"/>
        <v/>
      </c>
      <c r="L60" s="87" t="str">
        <f t="shared" si="10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11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929.96</v>
      </c>
      <c r="D61" s="81">
        <v>0</v>
      </c>
      <c r="E61" s="82">
        <v>0</v>
      </c>
      <c r="F61" s="82">
        <v>5091.71</v>
      </c>
      <c r="G61" s="82">
        <v>0</v>
      </c>
      <c r="H61" s="91">
        <f t="shared" si="8"/>
        <v>0</v>
      </c>
      <c r="I61" s="85"/>
      <c r="J61" s="85"/>
      <c r="K61" s="86" t="str">
        <f t="shared" si="9"/>
        <v/>
      </c>
      <c r="L61" s="87" t="str">
        <f t="shared" si="10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11"/>
        <v>0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926.59</v>
      </c>
      <c r="D62" s="81">
        <v>0</v>
      </c>
      <c r="E62" s="82">
        <v>0</v>
      </c>
      <c r="F62" s="82">
        <v>5093.6099999999997</v>
      </c>
      <c r="G62" s="82">
        <v>0</v>
      </c>
      <c r="H62" s="91">
        <f t="shared" si="8"/>
        <v>0</v>
      </c>
      <c r="I62" s="85"/>
      <c r="J62" s="85"/>
      <c r="K62" s="86" t="str">
        <f t="shared" si="9"/>
        <v/>
      </c>
      <c r="L62" s="87" t="str">
        <f t="shared" si="10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11"/>
        <v>0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931.65</v>
      </c>
      <c r="D63" s="81">
        <v>0</v>
      </c>
      <c r="E63" s="82">
        <v>0</v>
      </c>
      <c r="F63" s="82">
        <v>5125.54</v>
      </c>
      <c r="G63" s="82">
        <v>0</v>
      </c>
      <c r="H63" s="91">
        <f t="shared" si="8"/>
        <v>0</v>
      </c>
      <c r="I63" s="85"/>
      <c r="J63" s="85"/>
      <c r="K63" s="86" t="str">
        <f t="shared" si="9"/>
        <v/>
      </c>
      <c r="L63" s="87" t="str">
        <f t="shared" si="10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11"/>
        <v>0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938.25</v>
      </c>
      <c r="D64" s="81">
        <v>0</v>
      </c>
      <c r="E64" s="82">
        <v>0</v>
      </c>
      <c r="F64" s="82">
        <v>5036.6899999999996</v>
      </c>
      <c r="G64" s="82">
        <v>0</v>
      </c>
      <c r="H64" s="91">
        <f t="shared" si="8"/>
        <v>0</v>
      </c>
      <c r="I64" s="85"/>
      <c r="J64" s="85"/>
      <c r="K64" s="86" t="str">
        <f t="shared" si="9"/>
        <v/>
      </c>
      <c r="L64" s="87" t="str">
        <f t="shared" si="10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11"/>
        <v>0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919.65</v>
      </c>
      <c r="D65" s="81">
        <v>0</v>
      </c>
      <c r="E65" s="82">
        <v>0</v>
      </c>
      <c r="F65" s="82">
        <v>5081.97</v>
      </c>
      <c r="G65" s="82">
        <v>0</v>
      </c>
      <c r="H65" s="91">
        <f t="shared" si="8"/>
        <v>0</v>
      </c>
      <c r="I65" s="85"/>
      <c r="J65" s="85"/>
      <c r="K65" s="86" t="str">
        <f t="shared" si="9"/>
        <v/>
      </c>
      <c r="L65" s="87" t="str">
        <f t="shared" si="10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11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916.08</v>
      </c>
      <c r="D66" s="81">
        <v>0</v>
      </c>
      <c r="E66" s="82">
        <v>0</v>
      </c>
      <c r="F66" s="82">
        <v>5068.1000000000004</v>
      </c>
      <c r="G66" s="82">
        <v>0</v>
      </c>
      <c r="H66" s="91">
        <f t="shared" si="8"/>
        <v>0</v>
      </c>
      <c r="I66" s="85"/>
      <c r="J66" s="85"/>
      <c r="K66" s="86" t="str">
        <f t="shared" si="9"/>
        <v/>
      </c>
      <c r="L66" s="87" t="str">
        <f t="shared" si="10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11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1740.65</v>
      </c>
      <c r="D67" s="81">
        <v>0</v>
      </c>
      <c r="E67" s="82">
        <v>0</v>
      </c>
      <c r="F67" s="82">
        <v>4832.24</v>
      </c>
      <c r="G67" s="82">
        <v>0</v>
      </c>
      <c r="H67" s="91">
        <f t="shared" si="8"/>
        <v>0</v>
      </c>
      <c r="I67" s="85"/>
      <c r="J67" s="85"/>
      <c r="K67" s="86" t="str">
        <f t="shared" si="9"/>
        <v/>
      </c>
      <c r="L67" s="87" t="str">
        <f t="shared" si="10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11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1820.24</v>
      </c>
      <c r="D68" s="81">
        <v>0</v>
      </c>
      <c r="E68" s="82">
        <v>0</v>
      </c>
      <c r="F68" s="82">
        <v>4679.17</v>
      </c>
      <c r="G68" s="82">
        <v>0</v>
      </c>
      <c r="H68" s="91">
        <f t="shared" si="8"/>
        <v>0</v>
      </c>
      <c r="I68" s="85"/>
      <c r="J68" s="85"/>
      <c r="K68" s="86" t="str">
        <f t="shared" si="9"/>
        <v/>
      </c>
      <c r="L68" s="87" t="str">
        <f t="shared" si="10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11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1546.76</v>
      </c>
      <c r="D69" s="81">
        <v>0</v>
      </c>
      <c r="E69" s="82">
        <v>0</v>
      </c>
      <c r="F69" s="82">
        <v>4949.28</v>
      </c>
      <c r="G69" s="82">
        <v>0</v>
      </c>
      <c r="H69" s="91">
        <f t="shared" si="8"/>
        <v>0</v>
      </c>
      <c r="I69" s="85"/>
      <c r="J69" s="85"/>
      <c r="K69" s="86" t="str">
        <f t="shared" si="9"/>
        <v/>
      </c>
      <c r="L69" s="87" t="str">
        <f t="shared" si="10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11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1421.96</v>
      </c>
      <c r="D70" s="81">
        <v>0</v>
      </c>
      <c r="E70" s="82">
        <v>0</v>
      </c>
      <c r="F70" s="82">
        <v>5106.22</v>
      </c>
      <c r="G70" s="82">
        <v>0</v>
      </c>
      <c r="H70" s="91">
        <f t="shared" si="8"/>
        <v>0</v>
      </c>
      <c r="I70" s="85"/>
      <c r="J70" s="85"/>
      <c r="K70" s="86" t="str">
        <f t="shared" si="9"/>
        <v/>
      </c>
      <c r="L70" s="87" t="str">
        <f t="shared" si="10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11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1499.15</v>
      </c>
      <c r="D71" s="81">
        <v>0</v>
      </c>
      <c r="E71" s="82">
        <v>0</v>
      </c>
      <c r="F71" s="82">
        <v>5025.96</v>
      </c>
      <c r="G71" s="82">
        <v>0</v>
      </c>
      <c r="H71" s="91">
        <f t="shared" si="8"/>
        <v>0</v>
      </c>
      <c r="I71" s="85"/>
      <c r="J71" s="85"/>
      <c r="K71" s="86" t="str">
        <f t="shared" si="9"/>
        <v/>
      </c>
      <c r="L71" s="87" t="str">
        <f t="shared" si="10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11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1414.69</v>
      </c>
      <c r="D72" s="81">
        <v>0</v>
      </c>
      <c r="E72" s="82">
        <v>0</v>
      </c>
      <c r="F72" s="82">
        <v>5248.72</v>
      </c>
      <c r="G72" s="82">
        <v>0</v>
      </c>
      <c r="H72" s="91">
        <f t="shared" si="8"/>
        <v>0</v>
      </c>
      <c r="I72" s="85"/>
      <c r="J72" s="85"/>
      <c r="K72" s="86" t="str">
        <f t="shared" si="9"/>
        <v/>
      </c>
      <c r="L72" s="87" t="str">
        <f t="shared" si="10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11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1475.63</v>
      </c>
      <c r="D73" s="81">
        <v>0</v>
      </c>
      <c r="E73" s="82">
        <v>0</v>
      </c>
      <c r="F73" s="82">
        <v>5158.9399999999996</v>
      </c>
      <c r="G73" s="82">
        <v>0</v>
      </c>
      <c r="H73" s="91">
        <f t="shared" si="8"/>
        <v>0</v>
      </c>
      <c r="I73" s="85"/>
      <c r="J73" s="85"/>
      <c r="K73" s="86" t="str">
        <f t="shared" si="9"/>
        <v/>
      </c>
      <c r="L73" s="87" t="str">
        <f t="shared" si="10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11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1672.65</v>
      </c>
      <c r="D74" s="81">
        <v>0.36</v>
      </c>
      <c r="E74" s="82">
        <v>0</v>
      </c>
      <c r="F74" s="82">
        <v>4830.28</v>
      </c>
      <c r="G74" s="82">
        <v>0</v>
      </c>
      <c r="H74" s="91">
        <f t="shared" si="8"/>
        <v>0</v>
      </c>
      <c r="I74" s="85"/>
      <c r="J74" s="85"/>
      <c r="K74" s="86" t="str">
        <f t="shared" si="9"/>
        <v/>
      </c>
      <c r="L74" s="87" t="str">
        <f t="shared" si="10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11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1651.71</v>
      </c>
      <c r="D75" s="81">
        <v>0</v>
      </c>
      <c r="E75" s="82">
        <v>0</v>
      </c>
      <c r="F75" s="82">
        <v>4799.96</v>
      </c>
      <c r="G75" s="82">
        <v>0</v>
      </c>
      <c r="H75" s="91">
        <f t="shared" si="8"/>
        <v>0</v>
      </c>
      <c r="I75" s="85"/>
      <c r="J75" s="85"/>
      <c r="K75" s="86" t="str">
        <f t="shared" si="9"/>
        <v/>
      </c>
      <c r="L75" s="87" t="str">
        <f t="shared" si="10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11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1707.46</v>
      </c>
      <c r="D76" s="81">
        <v>0</v>
      </c>
      <c r="E76" s="82">
        <v>0</v>
      </c>
      <c r="F76" s="82">
        <v>4726.95</v>
      </c>
      <c r="G76" s="82">
        <v>0</v>
      </c>
      <c r="H76" s="91">
        <f t="shared" si="8"/>
        <v>0</v>
      </c>
      <c r="I76" s="85"/>
      <c r="J76" s="85"/>
      <c r="K76" s="86" t="str">
        <f t="shared" si="9"/>
        <v/>
      </c>
      <c r="L76" s="87" t="str">
        <f t="shared" si="10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11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1679.71</v>
      </c>
      <c r="D77" s="81">
        <v>0</v>
      </c>
      <c r="E77" s="82">
        <v>0</v>
      </c>
      <c r="F77" s="82">
        <v>4821.13</v>
      </c>
      <c r="G77" s="82">
        <v>0</v>
      </c>
      <c r="H77" s="91">
        <f t="shared" si="8"/>
        <v>0</v>
      </c>
      <c r="I77" s="85"/>
      <c r="J77" s="85"/>
      <c r="K77" s="86" t="str">
        <f t="shared" si="9"/>
        <v/>
      </c>
      <c r="L77" s="87" t="str">
        <f t="shared" si="10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11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1688.2</v>
      </c>
      <c r="D78" s="81">
        <v>0</v>
      </c>
      <c r="E78" s="82">
        <v>0</v>
      </c>
      <c r="F78" s="82">
        <v>4826.4799999999996</v>
      </c>
      <c r="G78" s="82">
        <v>0</v>
      </c>
      <c r="H78" s="91">
        <f t="shared" si="8"/>
        <v>0</v>
      </c>
      <c r="I78" s="85"/>
      <c r="J78" s="85"/>
      <c r="K78" s="86" t="str">
        <f t="shared" si="9"/>
        <v/>
      </c>
      <c r="L78" s="87" t="str">
        <f t="shared" si="10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1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1698.9</v>
      </c>
      <c r="D79" s="81">
        <v>0</v>
      </c>
      <c r="E79" s="82">
        <v>0</v>
      </c>
      <c r="F79" s="82">
        <v>4806.12</v>
      </c>
      <c r="G79" s="82">
        <v>0</v>
      </c>
      <c r="H79" s="91">
        <f t="shared" si="8"/>
        <v>0</v>
      </c>
      <c r="I79" s="85"/>
      <c r="J79" s="85"/>
      <c r="K79" s="86" t="str">
        <f t="shared" si="9"/>
        <v/>
      </c>
      <c r="L79" s="87" t="str">
        <f t="shared" si="10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1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1702.86</v>
      </c>
      <c r="D80" s="81">
        <v>0</v>
      </c>
      <c r="E80" s="82">
        <v>0</v>
      </c>
      <c r="F80" s="82">
        <v>4776.6099999999997</v>
      </c>
      <c r="G80" s="82">
        <v>0</v>
      </c>
      <c r="H80" s="91">
        <f t="shared" si="8"/>
        <v>0</v>
      </c>
      <c r="I80" s="85"/>
      <c r="J80" s="85"/>
      <c r="K80" s="86" t="str">
        <f t="shared" si="9"/>
        <v/>
      </c>
      <c r="L80" s="87" t="str">
        <f t="shared" si="10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1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1687.11</v>
      </c>
      <c r="D81" s="28">
        <v>0</v>
      </c>
      <c r="E81" s="96">
        <v>0</v>
      </c>
      <c r="F81" s="97">
        <v>4810.2</v>
      </c>
      <c r="G81" s="82">
        <v>0</v>
      </c>
      <c r="H81" s="98">
        <f t="shared" si="8"/>
        <v>0</v>
      </c>
      <c r="I81" s="115"/>
      <c r="J81" s="115"/>
      <c r="K81" s="99" t="str">
        <f t="shared" si="9"/>
        <v/>
      </c>
      <c r="L81" s="87" t="str">
        <f t="shared" si="10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1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2">SUM(B58:B81)</f>
        <v>0</v>
      </c>
      <c r="C82" s="35">
        <f t="shared" si="12"/>
        <v>32746.030000000002</v>
      </c>
      <c r="D82" s="35">
        <f t="shared" si="12"/>
        <v>0.36</v>
      </c>
      <c r="E82" s="35">
        <f t="shared" si="12"/>
        <v>0</v>
      </c>
      <c r="F82" s="101">
        <f t="shared" si="12"/>
        <v>119182.39</v>
      </c>
      <c r="G82" s="35">
        <f t="shared" si="12"/>
        <v>0</v>
      </c>
      <c r="H82" s="102"/>
      <c r="I82" s="103"/>
      <c r="J82" s="104"/>
      <c r="K82" s="105" t="str">
        <f>IFERROR(AVERAGE(K58:K81),"")</f>
        <v/>
      </c>
      <c r="L82" s="40">
        <f t="shared" ref="L82:U82" si="13">SUM(L58:L81)</f>
        <v>0</v>
      </c>
      <c r="M82" s="40">
        <f t="shared" si="13"/>
        <v>0</v>
      </c>
      <c r="N82" s="39">
        <f t="shared" si="13"/>
        <v>0</v>
      </c>
      <c r="O82" s="39">
        <f t="shared" si="13"/>
        <v>0</v>
      </c>
      <c r="P82" s="39">
        <f t="shared" si="13"/>
        <v>0</v>
      </c>
      <c r="Q82" s="39">
        <f t="shared" si="13"/>
        <v>0</v>
      </c>
      <c r="R82" s="39">
        <f t="shared" si="13"/>
        <v>0</v>
      </c>
      <c r="S82" s="39">
        <f t="shared" si="13"/>
        <v>0</v>
      </c>
      <c r="T82" s="39">
        <f t="shared" si="13"/>
        <v>0</v>
      </c>
      <c r="U82" s="39">
        <f t="shared" si="13"/>
        <v>0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119182.39</v>
      </c>
      <c r="J87" s="41"/>
      <c r="K87" s="62" t="s">
        <v>59</v>
      </c>
      <c r="L87" s="113">
        <v>3945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</v>
      </c>
      <c r="B88" s="57">
        <v>1</v>
      </c>
      <c r="C88" s="57">
        <v>0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6357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 t="str">
        <f>IFERROR(3412.14/K82,"")</f>
        <v/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A1:C1"/>
    <mergeCell ref="D1:U2"/>
    <mergeCell ref="V1:X4"/>
    <mergeCell ref="A2:C2"/>
    <mergeCell ref="A3:C3"/>
    <mergeCell ref="D3:U4"/>
    <mergeCell ref="A4:C4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39:A40"/>
    <mergeCell ref="B39:B40"/>
    <mergeCell ref="C39:C40"/>
    <mergeCell ref="D39:D40"/>
    <mergeCell ref="H39:I40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H41:H42"/>
    <mergeCell ref="I41:I42"/>
    <mergeCell ref="K44:L44"/>
    <mergeCell ref="C45:I46"/>
    <mergeCell ref="K45:L45"/>
    <mergeCell ref="K46:L4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A85:A86"/>
    <mergeCell ref="B85:B86"/>
    <mergeCell ref="C85:C86"/>
    <mergeCell ref="D85:D86"/>
    <mergeCell ref="H85:I86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K90:L90"/>
    <mergeCell ref="B91:B92"/>
    <mergeCell ref="C91:I92"/>
    <mergeCell ref="K91:L91"/>
    <mergeCell ref="K92:L9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B140-B3F3-4141-9CD6-E3F7DC34221C}">
  <dimension ref="A1:Z109"/>
  <sheetViews>
    <sheetView topLeftCell="A48" zoomScale="90" zoomScaleNormal="90" workbookViewId="0">
      <selection activeCell="B6" sqref="B6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6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82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178470</v>
      </c>
      <c r="C12" s="28">
        <v>0</v>
      </c>
      <c r="D12" s="28">
        <v>15720</v>
      </c>
      <c r="E12" s="28">
        <v>79.39</v>
      </c>
      <c r="F12" s="28">
        <v>80.11</v>
      </c>
      <c r="G12" s="28">
        <f t="shared" ref="G12:G35" si="0">+E12+F12</f>
        <v>159.5</v>
      </c>
      <c r="H12" s="28">
        <v>0</v>
      </c>
      <c r="I12" s="28">
        <v>0</v>
      </c>
      <c r="J12" s="112">
        <v>164</v>
      </c>
      <c r="K12" s="28">
        <f t="shared" ref="K12:K35" si="1">IF(J12=0,0,100*(G12-J12)/J12)</f>
        <v>-2.7439024390243905</v>
      </c>
      <c r="L12" s="28"/>
      <c r="M12" s="28"/>
      <c r="N12" s="28">
        <f t="shared" ref="N12:N35" si="2">IFERROR(V12*1000*2.2*$K$46/G12/1000,"")</f>
        <v>9294.7663448275871</v>
      </c>
      <c r="O12" s="28" t="str">
        <f t="shared" ref="O12:O35" si="3">IF(OR(K12&gt;5,K12&lt;-5),G12-J12,"")</f>
        <v/>
      </c>
      <c r="P12" s="28">
        <v>7.91</v>
      </c>
      <c r="Q12" s="28">
        <v>13.4</v>
      </c>
      <c r="R12" s="28">
        <v>17.41</v>
      </c>
      <c r="S12" s="28">
        <v>17.41</v>
      </c>
      <c r="T12" s="28">
        <v>17.399999999999999</v>
      </c>
      <c r="U12" s="28">
        <v>8.31</v>
      </c>
      <c r="V12" s="28">
        <f t="shared" ref="V12:V35" si="4">+SUM(P12:U12)</f>
        <v>81.84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177670</v>
      </c>
      <c r="C13" s="28">
        <v>0</v>
      </c>
      <c r="D13" s="28">
        <v>15884.33</v>
      </c>
      <c r="E13" s="28">
        <v>79.31</v>
      </c>
      <c r="F13" s="28">
        <v>80.03</v>
      </c>
      <c r="G13" s="28">
        <f t="shared" si="0"/>
        <v>159.34</v>
      </c>
      <c r="H13" s="28">
        <v>0</v>
      </c>
      <c r="I13" s="28">
        <v>0</v>
      </c>
      <c r="J13" s="112">
        <v>164</v>
      </c>
      <c r="K13" s="28">
        <f t="shared" si="1"/>
        <v>-2.8414634146341444</v>
      </c>
      <c r="L13" s="28"/>
      <c r="M13" s="28"/>
      <c r="N13" s="28">
        <f t="shared" si="2"/>
        <v>9307.5102045939493</v>
      </c>
      <c r="O13" s="28" t="str">
        <f t="shared" si="3"/>
        <v/>
      </c>
      <c r="P13" s="28">
        <v>7.93</v>
      </c>
      <c r="Q13" s="28">
        <v>13.39</v>
      </c>
      <c r="R13" s="28">
        <v>17.41</v>
      </c>
      <c r="S13" s="28">
        <v>17.41</v>
      </c>
      <c r="T13" s="28">
        <v>17.399999999999999</v>
      </c>
      <c r="U13" s="28">
        <v>8.33</v>
      </c>
      <c r="V13" s="28">
        <f t="shared" si="4"/>
        <v>81.86999999999999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177740</v>
      </c>
      <c r="C14" s="28">
        <v>0</v>
      </c>
      <c r="D14" s="28">
        <v>15412.17</v>
      </c>
      <c r="E14" s="28">
        <v>79.45</v>
      </c>
      <c r="F14" s="28">
        <v>80.180000000000007</v>
      </c>
      <c r="G14" s="28">
        <f t="shared" si="0"/>
        <v>159.63</v>
      </c>
      <c r="H14" s="28">
        <v>0</v>
      </c>
      <c r="I14" s="28">
        <v>0</v>
      </c>
      <c r="J14" s="112">
        <v>164</v>
      </c>
      <c r="K14" s="28">
        <f t="shared" si="1"/>
        <v>-2.664634146341466</v>
      </c>
      <c r="L14" s="28"/>
      <c r="M14" s="28"/>
      <c r="N14" s="28">
        <f t="shared" si="2"/>
        <v>9312.1624256092236</v>
      </c>
      <c r="O14" s="28" t="str">
        <f t="shared" si="3"/>
        <v/>
      </c>
      <c r="P14" s="28">
        <v>7.94</v>
      </c>
      <c r="Q14" s="28">
        <v>13.4</v>
      </c>
      <c r="R14" s="28">
        <v>17.41</v>
      </c>
      <c r="S14" s="28">
        <v>17.41</v>
      </c>
      <c r="T14" s="28">
        <v>17.399999999999999</v>
      </c>
      <c r="U14" s="28">
        <v>8.5</v>
      </c>
      <c r="V14" s="28">
        <f t="shared" si="4"/>
        <v>82.06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177970</v>
      </c>
      <c r="C15" s="28">
        <v>0</v>
      </c>
      <c r="D15" s="28">
        <v>15408.65</v>
      </c>
      <c r="E15" s="28">
        <v>79.459999999999994</v>
      </c>
      <c r="F15" s="28">
        <v>80.17</v>
      </c>
      <c r="G15" s="28">
        <f t="shared" si="0"/>
        <v>159.63</v>
      </c>
      <c r="H15" s="28">
        <v>0</v>
      </c>
      <c r="I15" s="28">
        <v>0</v>
      </c>
      <c r="J15" s="112">
        <v>164</v>
      </c>
      <c r="K15" s="28">
        <f t="shared" si="1"/>
        <v>-2.664634146341466</v>
      </c>
      <c r="L15" s="28"/>
      <c r="M15" s="28"/>
      <c r="N15" s="28">
        <f t="shared" si="2"/>
        <v>9307.6232287164094</v>
      </c>
      <c r="O15" s="28" t="str">
        <f t="shared" si="3"/>
        <v/>
      </c>
      <c r="P15" s="28">
        <v>7.89</v>
      </c>
      <c r="Q15" s="28">
        <v>13.4</v>
      </c>
      <c r="R15" s="28">
        <v>17.41</v>
      </c>
      <c r="S15" s="28">
        <v>17.41</v>
      </c>
      <c r="T15" s="28">
        <v>17.41</v>
      </c>
      <c r="U15" s="28">
        <v>8.5</v>
      </c>
      <c r="V15" s="28">
        <f t="shared" si="4"/>
        <v>82.02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178020</v>
      </c>
      <c r="C16" s="28">
        <v>0</v>
      </c>
      <c r="D16" s="28">
        <v>18512.400000000001</v>
      </c>
      <c r="E16" s="28">
        <v>79.569999999999993</v>
      </c>
      <c r="F16" s="28">
        <v>80.28</v>
      </c>
      <c r="G16" s="28">
        <f t="shared" si="0"/>
        <v>159.85</v>
      </c>
      <c r="H16" s="28">
        <v>0</v>
      </c>
      <c r="I16" s="28">
        <v>0</v>
      </c>
      <c r="J16" s="112">
        <v>164</v>
      </c>
      <c r="K16" s="28">
        <f t="shared" si="1"/>
        <v>-2.5304878048780521</v>
      </c>
      <c r="L16" s="28" t="s">
        <v>84</v>
      </c>
      <c r="M16" s="28"/>
      <c r="N16" s="28">
        <f t="shared" si="2"/>
        <v>9271.0152517985607</v>
      </c>
      <c r="O16" s="28" t="str">
        <f t="shared" si="3"/>
        <v/>
      </c>
      <c r="P16" s="28">
        <v>7.89</v>
      </c>
      <c r="Q16" s="28">
        <v>13.37</v>
      </c>
      <c r="R16" s="28">
        <v>17.38</v>
      </c>
      <c r="S16" s="28">
        <v>17.38</v>
      </c>
      <c r="T16" s="28">
        <v>17.38</v>
      </c>
      <c r="U16" s="28">
        <v>8.41</v>
      </c>
      <c r="V16" s="28">
        <f t="shared" si="4"/>
        <v>81.809999999999988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178260</v>
      </c>
      <c r="C17" s="28">
        <v>0</v>
      </c>
      <c r="D17" s="28">
        <v>17081.580000000002</v>
      </c>
      <c r="E17" s="28">
        <v>79.319999999999993</v>
      </c>
      <c r="F17" s="28">
        <v>80.03</v>
      </c>
      <c r="G17" s="28">
        <f t="shared" si="0"/>
        <v>159.35</v>
      </c>
      <c r="H17" s="28">
        <v>0</v>
      </c>
      <c r="I17" s="28">
        <v>0</v>
      </c>
      <c r="J17" s="112">
        <v>164</v>
      </c>
      <c r="K17" s="28">
        <f t="shared" si="1"/>
        <v>-2.8353658536585402</v>
      </c>
      <c r="L17" s="28" t="s">
        <v>84</v>
      </c>
      <c r="M17" s="28"/>
      <c r="N17" s="28">
        <f t="shared" si="2"/>
        <v>9250.0864512080316</v>
      </c>
      <c r="O17" s="28" t="str">
        <f t="shared" si="3"/>
        <v/>
      </c>
      <c r="P17" s="28">
        <v>7.72</v>
      </c>
      <c r="Q17" s="28">
        <v>13.31</v>
      </c>
      <c r="R17" s="28">
        <v>17.3</v>
      </c>
      <c r="S17" s="28">
        <v>17.3</v>
      </c>
      <c r="T17" s="28">
        <v>17.29</v>
      </c>
      <c r="U17" s="28">
        <v>8.4499999999999993</v>
      </c>
      <c r="V17" s="28">
        <f t="shared" si="4"/>
        <v>81.36999999999999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177750</v>
      </c>
      <c r="C18" s="28">
        <v>0</v>
      </c>
      <c r="D18" s="28">
        <v>15086.29</v>
      </c>
      <c r="E18" s="28">
        <v>76.989999999999995</v>
      </c>
      <c r="F18" s="28">
        <v>77.69</v>
      </c>
      <c r="G18" s="28">
        <f t="shared" si="0"/>
        <v>154.68</v>
      </c>
      <c r="H18" s="28">
        <v>0</v>
      </c>
      <c r="I18" s="28">
        <v>0</v>
      </c>
      <c r="J18" s="112">
        <v>140</v>
      </c>
      <c r="K18" s="28">
        <f t="shared" si="1"/>
        <v>10.485714285714291</v>
      </c>
      <c r="L18" s="28" t="s">
        <v>83</v>
      </c>
      <c r="M18" s="28"/>
      <c r="N18" s="28">
        <f t="shared" si="2"/>
        <v>9038.662167054561</v>
      </c>
      <c r="O18" s="28">
        <f t="shared" si="3"/>
        <v>14.680000000000007</v>
      </c>
      <c r="P18" s="28">
        <v>7.65</v>
      </c>
      <c r="Q18" s="28">
        <v>12.29</v>
      </c>
      <c r="R18" s="28">
        <v>16.27</v>
      </c>
      <c r="S18" s="28">
        <v>16.28</v>
      </c>
      <c r="T18" s="28">
        <v>16.27</v>
      </c>
      <c r="U18" s="28">
        <v>8.42</v>
      </c>
      <c r="V18" s="28">
        <f t="shared" si="4"/>
        <v>77.179999999999993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172400</v>
      </c>
      <c r="C19" s="28">
        <v>0</v>
      </c>
      <c r="D19" s="28">
        <v>9776.36</v>
      </c>
      <c r="E19" s="28">
        <v>59.28</v>
      </c>
      <c r="F19" s="28">
        <v>59.84</v>
      </c>
      <c r="G19" s="28">
        <f t="shared" si="0"/>
        <v>119.12</v>
      </c>
      <c r="H19" s="28">
        <v>0</v>
      </c>
      <c r="I19" s="28">
        <v>0</v>
      </c>
      <c r="J19" s="112">
        <v>110</v>
      </c>
      <c r="K19" s="28">
        <f t="shared" si="1"/>
        <v>8.2909090909090946</v>
      </c>
      <c r="L19" s="28" t="s">
        <v>83</v>
      </c>
      <c r="M19" s="28"/>
      <c r="N19" s="28">
        <f t="shared" si="2"/>
        <v>9440.6210879785085</v>
      </c>
      <c r="O19" s="28">
        <f t="shared" si="3"/>
        <v>9.1200000000000045</v>
      </c>
      <c r="P19" s="28">
        <v>7.56</v>
      </c>
      <c r="Q19" s="28">
        <v>8.5</v>
      </c>
      <c r="R19" s="28">
        <v>12.49</v>
      </c>
      <c r="S19" s="28">
        <v>12.49</v>
      </c>
      <c r="T19" s="28">
        <v>12.49</v>
      </c>
      <c r="U19" s="28">
        <v>8.5500000000000007</v>
      </c>
      <c r="V19" s="28">
        <f t="shared" si="4"/>
        <v>62.08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135160</v>
      </c>
      <c r="C20" s="28">
        <v>0</v>
      </c>
      <c r="D20" s="28">
        <v>6587.4</v>
      </c>
      <c r="E20" s="28">
        <v>45.28</v>
      </c>
      <c r="F20" s="28">
        <v>45.71</v>
      </c>
      <c r="G20" s="28">
        <f t="shared" si="0"/>
        <v>90.990000000000009</v>
      </c>
      <c r="H20" s="28">
        <v>0</v>
      </c>
      <c r="I20" s="28">
        <v>0</v>
      </c>
      <c r="J20" s="112">
        <v>90</v>
      </c>
      <c r="K20" s="28">
        <f t="shared" si="1"/>
        <v>1.1000000000000101</v>
      </c>
      <c r="L20" s="28"/>
      <c r="M20" s="28"/>
      <c r="N20" s="28">
        <f t="shared" si="2"/>
        <v>10356.433630069239</v>
      </c>
      <c r="O20" s="28" t="str">
        <f t="shared" si="3"/>
        <v/>
      </c>
      <c r="P20" s="28">
        <v>7.69</v>
      </c>
      <c r="Q20" s="28">
        <v>5.96</v>
      </c>
      <c r="R20" s="28">
        <v>9.9499999999999993</v>
      </c>
      <c r="S20" s="28">
        <v>9.93</v>
      </c>
      <c r="T20" s="28">
        <v>9.9600000000000009</v>
      </c>
      <c r="U20" s="28">
        <v>8.5299999999999994</v>
      </c>
      <c r="V20" s="28">
        <f t="shared" si="4"/>
        <v>52.02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105960</v>
      </c>
      <c r="C21" s="28">
        <v>0</v>
      </c>
      <c r="D21" s="28">
        <v>6823.59</v>
      </c>
      <c r="E21" s="28">
        <v>44.99</v>
      </c>
      <c r="F21" s="28">
        <v>45.4</v>
      </c>
      <c r="G21" s="28">
        <f t="shared" si="0"/>
        <v>90.39</v>
      </c>
      <c r="H21" s="28">
        <v>0</v>
      </c>
      <c r="I21" s="28">
        <v>0</v>
      </c>
      <c r="J21" s="112">
        <v>90</v>
      </c>
      <c r="K21" s="28">
        <f t="shared" si="1"/>
        <v>0.43333333333333396</v>
      </c>
      <c r="L21" s="28"/>
      <c r="M21" s="28"/>
      <c r="N21" s="28">
        <f t="shared" si="2"/>
        <v>10409.146055979645</v>
      </c>
      <c r="O21" s="28" t="str">
        <f t="shared" si="3"/>
        <v/>
      </c>
      <c r="P21" s="28">
        <v>7.64</v>
      </c>
      <c r="Q21" s="28">
        <v>6.01</v>
      </c>
      <c r="R21" s="28">
        <v>10.01</v>
      </c>
      <c r="S21" s="28">
        <v>9.99</v>
      </c>
      <c r="T21" s="28">
        <v>10.01</v>
      </c>
      <c r="U21" s="28">
        <v>8.2799999999999994</v>
      </c>
      <c r="V21" s="28">
        <f t="shared" si="4"/>
        <v>51.94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105120</v>
      </c>
      <c r="C22" s="28">
        <v>118.64</v>
      </c>
      <c r="D22" s="28">
        <v>1572.2</v>
      </c>
      <c r="E22" s="28">
        <v>45.19</v>
      </c>
      <c r="F22" s="28">
        <v>45.62</v>
      </c>
      <c r="G22" s="28">
        <f t="shared" si="0"/>
        <v>90.81</v>
      </c>
      <c r="H22" s="28">
        <v>0</v>
      </c>
      <c r="I22" s="28">
        <v>0</v>
      </c>
      <c r="J22" s="112">
        <v>90</v>
      </c>
      <c r="K22" s="28">
        <f t="shared" si="1"/>
        <v>0.90000000000000258</v>
      </c>
      <c r="L22" s="28"/>
      <c r="M22" s="28"/>
      <c r="N22" s="28">
        <f t="shared" si="2"/>
        <v>10572.452373086666</v>
      </c>
      <c r="O22" s="28" t="str">
        <f t="shared" si="3"/>
        <v/>
      </c>
      <c r="P22" s="28">
        <v>7.99</v>
      </c>
      <c r="Q22" s="28">
        <v>6.15</v>
      </c>
      <c r="R22" s="28">
        <v>10.16</v>
      </c>
      <c r="S22" s="28">
        <v>10.16</v>
      </c>
      <c r="T22" s="28">
        <v>10.16</v>
      </c>
      <c r="U22" s="28">
        <v>8.3800000000000008</v>
      </c>
      <c r="V22" s="28">
        <f t="shared" si="4"/>
        <v>53.000000000000007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105150</v>
      </c>
      <c r="C23" s="28">
        <v>118.06</v>
      </c>
      <c r="D23" s="28">
        <v>1842.67</v>
      </c>
      <c r="E23" s="28">
        <v>45.2</v>
      </c>
      <c r="F23" s="28">
        <v>45.63</v>
      </c>
      <c r="G23" s="28">
        <f t="shared" si="0"/>
        <v>90.830000000000013</v>
      </c>
      <c r="H23" s="28">
        <v>0</v>
      </c>
      <c r="I23" s="28">
        <v>0</v>
      </c>
      <c r="J23" s="112">
        <v>90</v>
      </c>
      <c r="K23" s="28">
        <f t="shared" si="1"/>
        <v>0.92222222222223615</v>
      </c>
      <c r="L23" s="28"/>
      <c r="M23" s="28"/>
      <c r="N23" s="28">
        <f t="shared" si="2"/>
        <v>10506.304789166576</v>
      </c>
      <c r="O23" s="28" t="str">
        <f t="shared" si="3"/>
        <v/>
      </c>
      <c r="P23" s="28">
        <v>8.1199999999999992</v>
      </c>
      <c r="Q23" s="28">
        <v>5.99</v>
      </c>
      <c r="R23" s="28">
        <v>10</v>
      </c>
      <c r="S23" s="28">
        <v>9.98</v>
      </c>
      <c r="T23" s="28">
        <v>10</v>
      </c>
      <c r="U23" s="28">
        <v>8.59</v>
      </c>
      <c r="V23" s="28">
        <f t="shared" si="4"/>
        <v>52.680000000000007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105170</v>
      </c>
      <c r="C24" s="28">
        <v>6.3100000000000005</v>
      </c>
      <c r="D24" s="28">
        <v>2829.72</v>
      </c>
      <c r="E24" s="28">
        <v>45.23</v>
      </c>
      <c r="F24" s="28">
        <v>45.67</v>
      </c>
      <c r="G24" s="28">
        <f t="shared" si="0"/>
        <v>90.9</v>
      </c>
      <c r="H24" s="28">
        <v>0</v>
      </c>
      <c r="I24" s="28">
        <v>0</v>
      </c>
      <c r="J24" s="112">
        <v>90</v>
      </c>
      <c r="K24" s="28">
        <f t="shared" si="1"/>
        <v>1.0000000000000062</v>
      </c>
      <c r="L24" s="28"/>
      <c r="M24" s="28"/>
      <c r="N24" s="28">
        <f t="shared" si="2"/>
        <v>10498.214125412542</v>
      </c>
      <c r="O24" s="28" t="str">
        <f t="shared" si="3"/>
        <v/>
      </c>
      <c r="P24" s="28">
        <v>8.18</v>
      </c>
      <c r="Q24" s="28">
        <v>5.94</v>
      </c>
      <c r="R24" s="28">
        <v>9.9600000000000009</v>
      </c>
      <c r="S24" s="28">
        <v>9.93</v>
      </c>
      <c r="T24" s="28">
        <v>9.94</v>
      </c>
      <c r="U24" s="28">
        <v>8.73</v>
      </c>
      <c r="V24" s="28">
        <f t="shared" si="4"/>
        <v>52.680000000000007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105170</v>
      </c>
      <c r="C25" s="28">
        <v>38.090000000000003</v>
      </c>
      <c r="D25" s="28">
        <v>2597.34</v>
      </c>
      <c r="E25" s="28">
        <v>45.12</v>
      </c>
      <c r="F25" s="28">
        <v>45.57</v>
      </c>
      <c r="G25" s="28">
        <f t="shared" si="0"/>
        <v>90.69</v>
      </c>
      <c r="H25" s="28">
        <v>0</v>
      </c>
      <c r="I25" s="28">
        <v>0</v>
      </c>
      <c r="J25" s="112">
        <v>90</v>
      </c>
      <c r="K25" s="28">
        <f t="shared" si="1"/>
        <v>0.76666666666666416</v>
      </c>
      <c r="L25" s="28"/>
      <c r="M25" s="28"/>
      <c r="N25" s="28">
        <f t="shared" si="2"/>
        <v>10424.648935935607</v>
      </c>
      <c r="O25" s="28" t="str">
        <f t="shared" si="3"/>
        <v/>
      </c>
      <c r="P25" s="28">
        <v>8.1199999999999992</v>
      </c>
      <c r="Q25" s="28">
        <v>5.8</v>
      </c>
      <c r="R25" s="28">
        <v>9.81</v>
      </c>
      <c r="S25" s="28">
        <v>9.82</v>
      </c>
      <c r="T25" s="28">
        <v>9.81</v>
      </c>
      <c r="U25" s="28">
        <v>8.83</v>
      </c>
      <c r="V25" s="28">
        <f t="shared" si="4"/>
        <v>52.19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105170</v>
      </c>
      <c r="C26" s="28">
        <v>2621.95</v>
      </c>
      <c r="D26" s="28">
        <v>266.06</v>
      </c>
      <c r="E26" s="28">
        <v>45.08</v>
      </c>
      <c r="F26" s="28">
        <v>45.51</v>
      </c>
      <c r="G26" s="28">
        <f t="shared" si="0"/>
        <v>90.59</v>
      </c>
      <c r="H26" s="28">
        <v>0</v>
      </c>
      <c r="I26" s="28">
        <v>0</v>
      </c>
      <c r="J26" s="112">
        <v>90</v>
      </c>
      <c r="K26" s="28">
        <f t="shared" si="1"/>
        <v>0.65555555555555933</v>
      </c>
      <c r="L26" s="28"/>
      <c r="M26" s="28"/>
      <c r="N26" s="28">
        <f t="shared" si="2"/>
        <v>10584.130301357767</v>
      </c>
      <c r="O26" s="28" t="str">
        <f t="shared" si="3"/>
        <v/>
      </c>
      <c r="P26" s="28">
        <v>8.1</v>
      </c>
      <c r="Q26" s="28">
        <v>6</v>
      </c>
      <c r="R26" s="28">
        <v>10.02</v>
      </c>
      <c r="S26" s="28">
        <v>10.02</v>
      </c>
      <c r="T26" s="28">
        <v>10</v>
      </c>
      <c r="U26" s="28">
        <v>8.7899999999999991</v>
      </c>
      <c r="V26" s="28">
        <f t="shared" si="4"/>
        <v>52.93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105130</v>
      </c>
      <c r="C27" s="28">
        <v>1729.25</v>
      </c>
      <c r="D27" s="28">
        <v>109.38</v>
      </c>
      <c r="E27" s="28">
        <v>45.36</v>
      </c>
      <c r="F27" s="28">
        <v>45.79</v>
      </c>
      <c r="G27" s="28">
        <f t="shared" si="0"/>
        <v>91.15</v>
      </c>
      <c r="H27" s="28">
        <v>0</v>
      </c>
      <c r="I27" s="28">
        <v>0</v>
      </c>
      <c r="J27" s="112">
        <v>90</v>
      </c>
      <c r="K27" s="28">
        <f t="shared" si="1"/>
        <v>1.2777777777777841</v>
      </c>
      <c r="L27" s="28"/>
      <c r="M27" s="28"/>
      <c r="N27" s="28">
        <f t="shared" si="2"/>
        <v>10636.35870543061</v>
      </c>
      <c r="O27" s="28" t="str">
        <f t="shared" si="3"/>
        <v/>
      </c>
      <c r="P27" s="28">
        <v>8</v>
      </c>
      <c r="Q27" s="28">
        <v>6.17</v>
      </c>
      <c r="R27" s="28">
        <v>10.17</v>
      </c>
      <c r="S27" s="28">
        <v>10.19</v>
      </c>
      <c r="T27" s="28">
        <v>10.17</v>
      </c>
      <c r="U27" s="28">
        <v>8.82</v>
      </c>
      <c r="V27" s="28">
        <f t="shared" si="4"/>
        <v>53.52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106000</v>
      </c>
      <c r="C28" s="28">
        <v>31.339999999999996</v>
      </c>
      <c r="D28" s="28">
        <v>2576.38</v>
      </c>
      <c r="E28" s="28">
        <v>55.14</v>
      </c>
      <c r="F28" s="28">
        <v>55.65</v>
      </c>
      <c r="G28" s="28">
        <f t="shared" si="0"/>
        <v>110.78999999999999</v>
      </c>
      <c r="H28" s="28">
        <v>0</v>
      </c>
      <c r="I28" s="28">
        <v>0</v>
      </c>
      <c r="J28" s="112">
        <v>110</v>
      </c>
      <c r="K28" s="28">
        <f t="shared" si="1"/>
        <v>0.71818181818181093</v>
      </c>
      <c r="L28" s="28"/>
      <c r="M28" s="28"/>
      <c r="N28" s="28">
        <f t="shared" si="2"/>
        <v>10158.611102085026</v>
      </c>
      <c r="O28" s="28" t="str">
        <f t="shared" si="3"/>
        <v/>
      </c>
      <c r="P28" s="28">
        <v>8.07</v>
      </c>
      <c r="Q28" s="28">
        <v>8.3000000000000007</v>
      </c>
      <c r="R28" s="28">
        <v>12.29</v>
      </c>
      <c r="S28" s="28">
        <v>12.3</v>
      </c>
      <c r="T28" s="28">
        <v>12.3</v>
      </c>
      <c r="U28" s="28">
        <v>8.8699999999999992</v>
      </c>
      <c r="V28" s="28">
        <f t="shared" si="4"/>
        <v>62.13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126930</v>
      </c>
      <c r="C29" s="28">
        <v>0</v>
      </c>
      <c r="D29" s="28">
        <v>9932.9599999999991</v>
      </c>
      <c r="E29" s="28">
        <v>67.819999999999993</v>
      </c>
      <c r="F29" s="28">
        <v>68.42</v>
      </c>
      <c r="G29" s="28">
        <f t="shared" si="0"/>
        <v>136.24</v>
      </c>
      <c r="H29" s="28">
        <v>0</v>
      </c>
      <c r="I29" s="28">
        <v>0</v>
      </c>
      <c r="J29" s="112">
        <v>134</v>
      </c>
      <c r="K29" s="28">
        <f t="shared" si="1"/>
        <v>1.6716417910447829</v>
      </c>
      <c r="L29" s="28"/>
      <c r="M29" s="28"/>
      <c r="N29" s="28">
        <f t="shared" si="2"/>
        <v>9771.4081914268936</v>
      </c>
      <c r="O29" s="28" t="str">
        <f t="shared" si="3"/>
        <v/>
      </c>
      <c r="P29" s="28">
        <v>8</v>
      </c>
      <c r="Q29" s="28">
        <v>11.18</v>
      </c>
      <c r="R29" s="28">
        <v>15.16</v>
      </c>
      <c r="S29" s="28">
        <v>15.17</v>
      </c>
      <c r="T29" s="28">
        <v>15.18</v>
      </c>
      <c r="U29" s="28">
        <v>8.8000000000000007</v>
      </c>
      <c r="V29" s="28">
        <f t="shared" si="4"/>
        <v>73.489999999999995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153260</v>
      </c>
      <c r="C30" s="28">
        <v>0</v>
      </c>
      <c r="D30" s="28">
        <v>15753.52</v>
      </c>
      <c r="E30" s="28">
        <v>79.61</v>
      </c>
      <c r="F30" s="28">
        <v>80.319999999999993</v>
      </c>
      <c r="G30" s="28">
        <f t="shared" si="0"/>
        <v>159.93</v>
      </c>
      <c r="H30" s="28">
        <v>0</v>
      </c>
      <c r="I30" s="28">
        <v>0</v>
      </c>
      <c r="J30" s="112">
        <v>164</v>
      </c>
      <c r="K30" s="28">
        <f t="shared" si="1"/>
        <v>-2.4817073170731665</v>
      </c>
      <c r="L30" s="28"/>
      <c r="M30" s="28"/>
      <c r="N30" s="28">
        <f t="shared" si="2"/>
        <v>9221.0708935159164</v>
      </c>
      <c r="O30" s="28" t="str">
        <f t="shared" si="3"/>
        <v/>
      </c>
      <c r="P30" s="28">
        <v>7.89</v>
      </c>
      <c r="Q30" s="28">
        <v>13.21</v>
      </c>
      <c r="R30" s="28">
        <v>17.21</v>
      </c>
      <c r="S30" s="28">
        <v>17.22</v>
      </c>
      <c r="T30" s="28">
        <v>17.21</v>
      </c>
      <c r="U30" s="28">
        <v>8.67</v>
      </c>
      <c r="V30" s="28">
        <f t="shared" si="4"/>
        <v>81.410000000000011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177940</v>
      </c>
      <c r="C31" s="28">
        <v>0</v>
      </c>
      <c r="D31" s="28">
        <v>17362.810000000001</v>
      </c>
      <c r="E31" s="28">
        <v>79.09</v>
      </c>
      <c r="F31" s="28">
        <v>79.81</v>
      </c>
      <c r="G31" s="28">
        <f t="shared" si="0"/>
        <v>158.9</v>
      </c>
      <c r="H31" s="28">
        <v>0</v>
      </c>
      <c r="I31" s="28">
        <v>0</v>
      </c>
      <c r="J31" s="112">
        <v>164</v>
      </c>
      <c r="K31" s="28">
        <f t="shared" si="1"/>
        <v>-3.1097560975609722</v>
      </c>
      <c r="L31" s="28"/>
      <c r="M31" s="28"/>
      <c r="N31" s="28">
        <f t="shared" si="2"/>
        <v>9105.280528634361</v>
      </c>
      <c r="O31" s="28" t="str">
        <f t="shared" si="3"/>
        <v/>
      </c>
      <c r="P31" s="28">
        <v>7.85</v>
      </c>
      <c r="Q31" s="28">
        <v>12.84</v>
      </c>
      <c r="R31" s="28">
        <v>16.850000000000001</v>
      </c>
      <c r="S31" s="28">
        <v>16.850000000000001</v>
      </c>
      <c r="T31" s="28">
        <v>16.850000000000001</v>
      </c>
      <c r="U31" s="28">
        <v>8.6300000000000008</v>
      </c>
      <c r="V31" s="28">
        <f t="shared" si="4"/>
        <v>79.87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176890</v>
      </c>
      <c r="C32" s="28">
        <v>0</v>
      </c>
      <c r="D32" s="28">
        <v>16100.95</v>
      </c>
      <c r="E32" s="28">
        <v>79.22</v>
      </c>
      <c r="F32" s="28">
        <v>79.97</v>
      </c>
      <c r="G32" s="28">
        <f t="shared" si="0"/>
        <v>159.19</v>
      </c>
      <c r="H32" s="28">
        <v>0</v>
      </c>
      <c r="I32" s="28">
        <v>0</v>
      </c>
      <c r="J32" s="112">
        <v>164</v>
      </c>
      <c r="K32" s="28">
        <f t="shared" si="1"/>
        <v>-2.9329268292682942</v>
      </c>
      <c r="L32" s="28"/>
      <c r="M32" s="28"/>
      <c r="N32" s="28">
        <f t="shared" si="2"/>
        <v>9053.4172247000442</v>
      </c>
      <c r="O32" s="28" t="str">
        <f t="shared" si="3"/>
        <v/>
      </c>
      <c r="P32" s="28">
        <v>8.15</v>
      </c>
      <c r="Q32" s="28">
        <v>12.71</v>
      </c>
      <c r="R32" s="28">
        <v>16.71</v>
      </c>
      <c r="S32" s="28">
        <v>16.68</v>
      </c>
      <c r="T32" s="28">
        <v>16.72</v>
      </c>
      <c r="U32" s="28">
        <v>8.59</v>
      </c>
      <c r="V32" s="28">
        <f t="shared" si="4"/>
        <v>79.56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177320</v>
      </c>
      <c r="C33" s="28">
        <v>0</v>
      </c>
      <c r="D33" s="28">
        <v>15637.880000000001</v>
      </c>
      <c r="E33" s="28">
        <v>79.489999999999995</v>
      </c>
      <c r="F33" s="28">
        <v>80.260000000000005</v>
      </c>
      <c r="G33" s="28">
        <f t="shared" si="0"/>
        <v>159.75</v>
      </c>
      <c r="H33" s="28">
        <v>0</v>
      </c>
      <c r="I33" s="28">
        <v>0</v>
      </c>
      <c r="J33" s="112">
        <v>163.9</v>
      </c>
      <c r="K33" s="28">
        <f t="shared" si="1"/>
        <v>-2.5320317266626025</v>
      </c>
      <c r="L33" s="28"/>
      <c r="M33" s="28"/>
      <c r="N33" s="28">
        <f t="shared" si="2"/>
        <v>9054.5651330203455</v>
      </c>
      <c r="O33" s="28" t="str">
        <f t="shared" si="3"/>
        <v/>
      </c>
      <c r="P33" s="28">
        <v>8.23</v>
      </c>
      <c r="Q33" s="28">
        <v>12.8</v>
      </c>
      <c r="R33" s="28">
        <v>16.79</v>
      </c>
      <c r="S33" s="28">
        <v>16.8</v>
      </c>
      <c r="T33" s="28">
        <v>16.8</v>
      </c>
      <c r="U33" s="28">
        <v>8.43</v>
      </c>
      <c r="V33" s="28">
        <f t="shared" si="4"/>
        <v>79.849999999999994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177860</v>
      </c>
      <c r="C34" s="28">
        <v>0</v>
      </c>
      <c r="D34" s="28">
        <v>16871.830000000002</v>
      </c>
      <c r="E34" s="28">
        <v>79.459999999999994</v>
      </c>
      <c r="F34" s="28">
        <v>80.22</v>
      </c>
      <c r="G34" s="28">
        <f t="shared" si="0"/>
        <v>159.68</v>
      </c>
      <c r="H34" s="28">
        <v>0</v>
      </c>
      <c r="I34" s="28">
        <v>0</v>
      </c>
      <c r="J34" s="112">
        <v>164</v>
      </c>
      <c r="K34" s="28">
        <f t="shared" si="1"/>
        <v>-2.6341463414634103</v>
      </c>
      <c r="L34" s="28"/>
      <c r="M34" s="28"/>
      <c r="N34" s="28">
        <f t="shared" si="2"/>
        <v>9036.9800100200391</v>
      </c>
      <c r="O34" s="28" t="str">
        <f t="shared" si="3"/>
        <v/>
      </c>
      <c r="P34" s="28">
        <v>8.14</v>
      </c>
      <c r="Q34" s="28">
        <v>12.8</v>
      </c>
      <c r="R34" s="28">
        <v>16.690000000000001</v>
      </c>
      <c r="S34" s="28">
        <v>16.8</v>
      </c>
      <c r="T34" s="28">
        <v>16.8</v>
      </c>
      <c r="U34" s="28">
        <v>8.43</v>
      </c>
      <c r="V34" s="28">
        <f t="shared" si="4"/>
        <v>79.66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177660</v>
      </c>
      <c r="C35" s="28">
        <v>0</v>
      </c>
      <c r="D35" s="28">
        <v>19387.46</v>
      </c>
      <c r="E35" s="28">
        <v>79.25</v>
      </c>
      <c r="F35" s="28">
        <v>80</v>
      </c>
      <c r="G35" s="28">
        <f t="shared" si="0"/>
        <v>159.25</v>
      </c>
      <c r="H35" s="28">
        <v>0</v>
      </c>
      <c r="I35" s="28">
        <v>0</v>
      </c>
      <c r="J35" s="112">
        <v>164</v>
      </c>
      <c r="K35" s="116">
        <f t="shared" si="1"/>
        <v>-2.8963414634146343</v>
      </c>
      <c r="L35" s="116"/>
      <c r="M35" s="117"/>
      <c r="N35" s="28">
        <f t="shared" si="2"/>
        <v>9064.7937959183673</v>
      </c>
      <c r="O35" s="28" t="str">
        <f t="shared" si="3"/>
        <v/>
      </c>
      <c r="P35" s="28">
        <v>8.06</v>
      </c>
      <c r="Q35" s="28">
        <v>12.79</v>
      </c>
      <c r="R35" s="28">
        <v>16.8</v>
      </c>
      <c r="S35" s="28">
        <v>16.79</v>
      </c>
      <c r="T35" s="28">
        <v>16.79</v>
      </c>
      <c r="U35" s="28">
        <v>8.4600000000000009</v>
      </c>
      <c r="V35" s="28">
        <f t="shared" si="4"/>
        <v>79.69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v>177210</v>
      </c>
      <c r="C36" s="35">
        <f t="shared" ref="C36:J36" si="5">SUM(C12:C35)</f>
        <v>4663.6399999999994</v>
      </c>
      <c r="D36" s="35">
        <f t="shared" si="5"/>
        <v>259133.93000000002</v>
      </c>
      <c r="E36" s="35">
        <f t="shared" si="5"/>
        <v>1573.2999999999997</v>
      </c>
      <c r="F36" s="35">
        <f t="shared" si="5"/>
        <v>1587.88</v>
      </c>
      <c r="G36" s="35">
        <f t="shared" si="5"/>
        <v>3161.1800000000003</v>
      </c>
      <c r="H36" s="35">
        <f t="shared" si="5"/>
        <v>0</v>
      </c>
      <c r="I36" s="35">
        <f t="shared" si="5"/>
        <v>0</v>
      </c>
      <c r="J36" s="35">
        <f t="shared" si="5"/>
        <v>3181.9</v>
      </c>
      <c r="K36" s="36"/>
      <c r="L36" s="37"/>
      <c r="M36" s="38"/>
      <c r="N36" s="35">
        <f>IFERROR(AVERAGE(N12:N35),"")</f>
        <v>9694.8442898977701</v>
      </c>
      <c r="O36" s="39">
        <f t="shared" ref="O36:U36" si="6">SUM(O12:O35)</f>
        <v>23.800000000000011</v>
      </c>
      <c r="P36" s="39">
        <f t="shared" si="6"/>
        <v>190.71999999999997</v>
      </c>
      <c r="Q36" s="39">
        <f t="shared" si="6"/>
        <v>245.71000000000006</v>
      </c>
      <c r="R36" s="39">
        <f t="shared" si="6"/>
        <v>341.65999999999997</v>
      </c>
      <c r="S36" s="39">
        <f t="shared" si="6"/>
        <v>341.72000000000008</v>
      </c>
      <c r="T36" s="39">
        <f t="shared" si="6"/>
        <v>341.74000000000007</v>
      </c>
      <c r="U36" s="39">
        <f t="shared" si="6"/>
        <v>205.3</v>
      </c>
      <c r="V36" s="39">
        <f>SUM(V12:V35)</f>
        <v>1666.8500000000006</v>
      </c>
      <c r="W36" s="40">
        <f>SUM(W12:W35)</f>
        <v>0</v>
      </c>
      <c r="X36" s="40">
        <f>SUM(X12:X35)</f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0</v>
      </c>
      <c r="J41" s="41"/>
      <c r="K41" s="13" t="s">
        <v>59</v>
      </c>
      <c r="L41" s="113">
        <v>405919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1</v>
      </c>
      <c r="B42" s="57">
        <v>0</v>
      </c>
      <c r="C42" s="57">
        <v>0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176949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>
        <f>IFERROR(3412.14/N36,"")</f>
        <v>0.35195407971178255</v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6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Amarildo Reales Silvera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1700.93</v>
      </c>
      <c r="D58" s="81">
        <v>0</v>
      </c>
      <c r="E58" s="82">
        <v>0</v>
      </c>
      <c r="F58" s="83">
        <v>4778.4799999999996</v>
      </c>
      <c r="G58" s="82">
        <v>0</v>
      </c>
      <c r="H58" s="84">
        <f t="shared" ref="H58:H81" si="7">IF(G58=0,0,100*(E58-G58)/G58)</f>
        <v>0</v>
      </c>
      <c r="I58" s="85"/>
      <c r="J58" s="85"/>
      <c r="K58" s="86" t="str">
        <f t="shared" ref="K58:K81" si="8">IFERROR(U58*1000*2.2*$K$92/E58/1000,"")</f>
        <v/>
      </c>
      <c r="L58" s="87" t="str">
        <f t="shared" ref="L58:L81" si="9">IF(OR(H58&gt;5,H58&lt;-5),E58-G58,"")</f>
        <v/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1711.77</v>
      </c>
      <c r="D59" s="81">
        <v>0</v>
      </c>
      <c r="E59" s="82">
        <v>0</v>
      </c>
      <c r="F59" s="82">
        <v>4749.49</v>
      </c>
      <c r="G59" s="82">
        <v>0</v>
      </c>
      <c r="H59" s="91">
        <f t="shared" si="7"/>
        <v>0</v>
      </c>
      <c r="I59" s="85"/>
      <c r="J59" s="85"/>
      <c r="K59" s="86" t="str">
        <f t="shared" si="8"/>
        <v/>
      </c>
      <c r="L59" s="87" t="str">
        <f t="shared" si="9"/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10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1711.3</v>
      </c>
      <c r="D60" s="81">
        <v>0</v>
      </c>
      <c r="E60" s="82">
        <v>0</v>
      </c>
      <c r="F60" s="82">
        <v>4749.82</v>
      </c>
      <c r="G60" s="82">
        <v>0</v>
      </c>
      <c r="H60" s="91">
        <f t="shared" si="7"/>
        <v>0</v>
      </c>
      <c r="I60" s="85"/>
      <c r="J60" s="85"/>
      <c r="K60" s="86" t="str">
        <f t="shared" si="8"/>
        <v/>
      </c>
      <c r="L60" s="87" t="str">
        <f t="shared" si="9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10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1791.5</v>
      </c>
      <c r="D61" s="81">
        <v>0</v>
      </c>
      <c r="E61" s="82">
        <v>0</v>
      </c>
      <c r="F61" s="82">
        <v>4678.13</v>
      </c>
      <c r="G61" s="82">
        <v>0</v>
      </c>
      <c r="H61" s="91">
        <f t="shared" si="7"/>
        <v>0</v>
      </c>
      <c r="I61" s="85"/>
      <c r="J61" s="85"/>
      <c r="K61" s="86" t="str">
        <f t="shared" si="8"/>
        <v/>
      </c>
      <c r="L61" s="87" t="str">
        <f t="shared" si="9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10"/>
        <v>0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1796.7</v>
      </c>
      <c r="D62" s="81">
        <v>0</v>
      </c>
      <c r="E62" s="82">
        <v>0</v>
      </c>
      <c r="F62" s="82">
        <v>4818.16</v>
      </c>
      <c r="G62" s="82">
        <v>0</v>
      </c>
      <c r="H62" s="91">
        <f t="shared" si="7"/>
        <v>0</v>
      </c>
      <c r="I62" s="85"/>
      <c r="J62" s="85"/>
      <c r="K62" s="86" t="str">
        <f t="shared" si="8"/>
        <v/>
      </c>
      <c r="L62" s="87" t="str">
        <f t="shared" si="9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10"/>
        <v>0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1730.17</v>
      </c>
      <c r="D63" s="81">
        <v>0</v>
      </c>
      <c r="E63" s="82">
        <v>0</v>
      </c>
      <c r="F63" s="82">
        <v>4965.88</v>
      </c>
      <c r="G63" s="82">
        <v>0</v>
      </c>
      <c r="H63" s="91">
        <f t="shared" si="7"/>
        <v>0</v>
      </c>
      <c r="I63" s="85"/>
      <c r="J63" s="85"/>
      <c r="K63" s="86" t="str">
        <f t="shared" si="8"/>
        <v/>
      </c>
      <c r="L63" s="87" t="str">
        <f t="shared" si="9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10"/>
        <v>0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1840.93</v>
      </c>
      <c r="D64" s="81">
        <v>0</v>
      </c>
      <c r="E64" s="82">
        <v>0</v>
      </c>
      <c r="F64" s="82">
        <v>4631.08</v>
      </c>
      <c r="G64" s="82">
        <v>0</v>
      </c>
      <c r="H64" s="91">
        <f t="shared" si="7"/>
        <v>0</v>
      </c>
      <c r="I64" s="85"/>
      <c r="J64" s="85"/>
      <c r="K64" s="86" t="str">
        <f t="shared" si="8"/>
        <v/>
      </c>
      <c r="L64" s="87" t="str">
        <f t="shared" si="9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10"/>
        <v>0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1842.9</v>
      </c>
      <c r="D65" s="81">
        <v>0</v>
      </c>
      <c r="E65" s="82">
        <v>0</v>
      </c>
      <c r="F65" s="82">
        <v>4641.0200000000004</v>
      </c>
      <c r="G65" s="82">
        <v>0</v>
      </c>
      <c r="H65" s="91">
        <f t="shared" si="7"/>
        <v>0</v>
      </c>
      <c r="I65" s="85"/>
      <c r="J65" s="85"/>
      <c r="K65" s="86" t="str">
        <f t="shared" si="8"/>
        <v/>
      </c>
      <c r="L65" s="87" t="str">
        <f t="shared" si="9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10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1839.57</v>
      </c>
      <c r="D66" s="81">
        <v>0</v>
      </c>
      <c r="E66" s="82">
        <v>0</v>
      </c>
      <c r="F66" s="82">
        <v>4630.03</v>
      </c>
      <c r="G66" s="82">
        <v>0</v>
      </c>
      <c r="H66" s="91">
        <f t="shared" si="7"/>
        <v>0</v>
      </c>
      <c r="I66" s="85"/>
      <c r="J66" s="85"/>
      <c r="K66" s="86" t="str">
        <f t="shared" si="8"/>
        <v/>
      </c>
      <c r="L66" s="87" t="str">
        <f t="shared" si="9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10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1893.99</v>
      </c>
      <c r="D67" s="81">
        <v>0</v>
      </c>
      <c r="E67" s="82">
        <v>0</v>
      </c>
      <c r="F67" s="82">
        <v>4592.09</v>
      </c>
      <c r="G67" s="82">
        <v>0</v>
      </c>
      <c r="H67" s="91">
        <f t="shared" si="7"/>
        <v>0</v>
      </c>
      <c r="I67" s="85"/>
      <c r="J67" s="85"/>
      <c r="K67" s="86" t="str">
        <f t="shared" si="8"/>
        <v/>
      </c>
      <c r="L67" s="87" t="str">
        <f t="shared" si="9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10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1846.92</v>
      </c>
      <c r="D68" s="81">
        <v>0</v>
      </c>
      <c r="E68" s="82">
        <v>0</v>
      </c>
      <c r="F68" s="82">
        <v>4693.8500000000004</v>
      </c>
      <c r="G68" s="82">
        <v>0</v>
      </c>
      <c r="H68" s="91">
        <f t="shared" si="7"/>
        <v>0</v>
      </c>
      <c r="I68" s="85"/>
      <c r="J68" s="85"/>
      <c r="K68" s="86" t="str">
        <f t="shared" si="8"/>
        <v/>
      </c>
      <c r="L68" s="87" t="str">
        <f t="shared" si="9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10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1788.62</v>
      </c>
      <c r="D69" s="81">
        <v>0</v>
      </c>
      <c r="E69" s="82">
        <v>0</v>
      </c>
      <c r="F69" s="82">
        <v>4861.75</v>
      </c>
      <c r="G69" s="82">
        <v>0</v>
      </c>
      <c r="H69" s="91">
        <f t="shared" si="7"/>
        <v>0</v>
      </c>
      <c r="I69" s="85"/>
      <c r="J69" s="85"/>
      <c r="K69" s="86" t="str">
        <f t="shared" si="8"/>
        <v/>
      </c>
      <c r="L69" s="87" t="str">
        <f t="shared" si="9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10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1838.06</v>
      </c>
      <c r="D70" s="81">
        <v>0</v>
      </c>
      <c r="E70" s="82">
        <v>0</v>
      </c>
      <c r="F70" s="82">
        <v>4660.42</v>
      </c>
      <c r="G70" s="82">
        <v>0</v>
      </c>
      <c r="H70" s="91">
        <f t="shared" si="7"/>
        <v>0</v>
      </c>
      <c r="I70" s="85"/>
      <c r="J70" s="85"/>
      <c r="K70" s="86" t="str">
        <f t="shared" si="8"/>
        <v/>
      </c>
      <c r="L70" s="87" t="str">
        <f t="shared" si="9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10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1503.88</v>
      </c>
      <c r="D71" s="81">
        <v>0</v>
      </c>
      <c r="E71" s="82">
        <v>0</v>
      </c>
      <c r="F71" s="82">
        <v>4972.4399999999996</v>
      </c>
      <c r="G71" s="82">
        <v>0</v>
      </c>
      <c r="H71" s="91">
        <f t="shared" si="7"/>
        <v>0</v>
      </c>
      <c r="I71" s="85"/>
      <c r="J71" s="85"/>
      <c r="K71" s="86" t="str">
        <f t="shared" si="8"/>
        <v/>
      </c>
      <c r="L71" s="87" t="str">
        <f t="shared" si="9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10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1468.12</v>
      </c>
      <c r="D72" s="81">
        <v>0</v>
      </c>
      <c r="E72" s="82">
        <v>0</v>
      </c>
      <c r="F72" s="82">
        <v>5146.7</v>
      </c>
      <c r="G72" s="82">
        <v>0</v>
      </c>
      <c r="H72" s="91">
        <f t="shared" si="7"/>
        <v>0</v>
      </c>
      <c r="I72" s="85"/>
      <c r="J72" s="85"/>
      <c r="K72" s="86" t="str">
        <f t="shared" si="8"/>
        <v/>
      </c>
      <c r="L72" s="87" t="str">
        <f t="shared" si="9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10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1574.48</v>
      </c>
      <c r="D73" s="81">
        <v>0</v>
      </c>
      <c r="E73" s="82">
        <v>0</v>
      </c>
      <c r="F73" s="82">
        <v>5010.01</v>
      </c>
      <c r="G73" s="82">
        <v>0</v>
      </c>
      <c r="H73" s="91">
        <f t="shared" si="7"/>
        <v>0</v>
      </c>
      <c r="I73" s="85"/>
      <c r="J73" s="85"/>
      <c r="K73" s="86" t="str">
        <f t="shared" si="8"/>
        <v/>
      </c>
      <c r="L73" s="87" t="str">
        <f t="shared" si="9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10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1636.41</v>
      </c>
      <c r="D74" s="81">
        <v>0</v>
      </c>
      <c r="E74" s="82">
        <v>0</v>
      </c>
      <c r="F74" s="82">
        <v>4908</v>
      </c>
      <c r="G74" s="82">
        <v>0</v>
      </c>
      <c r="H74" s="91">
        <f t="shared" si="7"/>
        <v>0</v>
      </c>
      <c r="I74" s="85"/>
      <c r="J74" s="85"/>
      <c r="K74" s="86" t="str">
        <f t="shared" si="8"/>
        <v/>
      </c>
      <c r="L74" s="87" t="str">
        <f t="shared" si="9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10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1796.49</v>
      </c>
      <c r="D75" s="81">
        <v>0</v>
      </c>
      <c r="E75" s="82">
        <v>0</v>
      </c>
      <c r="F75" s="82">
        <v>4708.13</v>
      </c>
      <c r="G75" s="82">
        <v>0</v>
      </c>
      <c r="H75" s="91">
        <f t="shared" si="7"/>
        <v>0</v>
      </c>
      <c r="I75" s="85"/>
      <c r="J75" s="85"/>
      <c r="K75" s="86" t="str">
        <f t="shared" si="8"/>
        <v/>
      </c>
      <c r="L75" s="87" t="str">
        <f t="shared" si="9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10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1865.36</v>
      </c>
      <c r="D76" s="81">
        <v>0</v>
      </c>
      <c r="E76" s="82">
        <v>0</v>
      </c>
      <c r="F76" s="82">
        <v>4682.6899999999996</v>
      </c>
      <c r="G76" s="82">
        <v>0</v>
      </c>
      <c r="H76" s="91">
        <f t="shared" si="7"/>
        <v>0</v>
      </c>
      <c r="I76" s="85"/>
      <c r="J76" s="85"/>
      <c r="K76" s="86" t="str">
        <f t="shared" si="8"/>
        <v/>
      </c>
      <c r="L76" s="87" t="str">
        <f t="shared" si="9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10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1812.37</v>
      </c>
      <c r="D77" s="81">
        <v>0</v>
      </c>
      <c r="E77" s="82">
        <v>0</v>
      </c>
      <c r="F77" s="82">
        <v>4811.74</v>
      </c>
      <c r="G77" s="82">
        <v>0</v>
      </c>
      <c r="H77" s="91">
        <f t="shared" si="7"/>
        <v>0</v>
      </c>
      <c r="I77" s="85"/>
      <c r="J77" s="85"/>
      <c r="K77" s="86" t="str">
        <f t="shared" si="8"/>
        <v/>
      </c>
      <c r="L77" s="87" t="str">
        <f t="shared" si="9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10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1733.17</v>
      </c>
      <c r="D78" s="81">
        <v>0</v>
      </c>
      <c r="E78" s="82">
        <v>0</v>
      </c>
      <c r="F78" s="82">
        <v>4954.18</v>
      </c>
      <c r="G78" s="82">
        <v>0</v>
      </c>
      <c r="H78" s="91">
        <f t="shared" si="7"/>
        <v>0</v>
      </c>
      <c r="I78" s="85"/>
      <c r="J78" s="85"/>
      <c r="K78" s="86" t="str">
        <f t="shared" si="8"/>
        <v/>
      </c>
      <c r="L78" s="87" t="str">
        <f t="shared" si="9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0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1878.25</v>
      </c>
      <c r="D79" s="81">
        <v>0</v>
      </c>
      <c r="E79" s="82">
        <v>0</v>
      </c>
      <c r="F79" s="82">
        <v>4665.7299999999996</v>
      </c>
      <c r="G79" s="82">
        <v>0</v>
      </c>
      <c r="H79" s="91">
        <f t="shared" si="7"/>
        <v>0</v>
      </c>
      <c r="I79" s="85"/>
      <c r="J79" s="85"/>
      <c r="K79" s="86" t="str">
        <f t="shared" si="8"/>
        <v/>
      </c>
      <c r="L79" s="87" t="str">
        <f t="shared" si="9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0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1887.06</v>
      </c>
      <c r="D80" s="81">
        <v>0</v>
      </c>
      <c r="E80" s="82">
        <v>0</v>
      </c>
      <c r="F80" s="82">
        <v>4655.8500000000004</v>
      </c>
      <c r="G80" s="82">
        <v>0</v>
      </c>
      <c r="H80" s="91">
        <f t="shared" si="7"/>
        <v>0</v>
      </c>
      <c r="I80" s="85"/>
      <c r="J80" s="85"/>
      <c r="K80" s="86" t="str">
        <f t="shared" si="8"/>
        <v/>
      </c>
      <c r="L80" s="87" t="str">
        <f t="shared" si="9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0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1871.3</v>
      </c>
      <c r="D81" s="28">
        <v>0</v>
      </c>
      <c r="E81" s="96">
        <v>0</v>
      </c>
      <c r="F81" s="97">
        <v>4638.1099999999997</v>
      </c>
      <c r="G81" s="82">
        <v>0</v>
      </c>
      <c r="H81" s="98">
        <f t="shared" si="7"/>
        <v>0</v>
      </c>
      <c r="I81" s="115"/>
      <c r="J81" s="115"/>
      <c r="K81" s="99" t="str">
        <f t="shared" si="8"/>
        <v/>
      </c>
      <c r="L81" s="87" t="str">
        <f t="shared" si="9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0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1">SUM(B58:B81)</f>
        <v>0</v>
      </c>
      <c r="C82" s="35">
        <f t="shared" si="11"/>
        <v>42360.25</v>
      </c>
      <c r="D82" s="35">
        <f t="shared" si="11"/>
        <v>0</v>
      </c>
      <c r="E82" s="35">
        <f t="shared" si="11"/>
        <v>0</v>
      </c>
      <c r="F82" s="101">
        <f t="shared" si="11"/>
        <v>114603.78</v>
      </c>
      <c r="G82" s="35">
        <f t="shared" si="11"/>
        <v>0</v>
      </c>
      <c r="H82" s="102"/>
      <c r="I82" s="103"/>
      <c r="J82" s="104"/>
      <c r="K82" s="105" t="str">
        <f>IFERROR(AVERAGE(K58:K81),"")</f>
        <v/>
      </c>
      <c r="L82" s="40">
        <f t="shared" ref="L82:U82" si="12">SUM(L58:L81)</f>
        <v>0</v>
      </c>
      <c r="M82" s="40">
        <f t="shared" si="12"/>
        <v>0</v>
      </c>
      <c r="N82" s="39">
        <f t="shared" si="12"/>
        <v>0</v>
      </c>
      <c r="O82" s="39">
        <f t="shared" si="12"/>
        <v>0</v>
      </c>
      <c r="P82" s="39">
        <f t="shared" si="12"/>
        <v>0</v>
      </c>
      <c r="Q82" s="39">
        <f t="shared" si="12"/>
        <v>0</v>
      </c>
      <c r="R82" s="39">
        <f t="shared" si="12"/>
        <v>0</v>
      </c>
      <c r="S82" s="39">
        <f t="shared" si="12"/>
        <v>0</v>
      </c>
      <c r="T82" s="39">
        <f t="shared" si="12"/>
        <v>0</v>
      </c>
      <c r="U82" s="39">
        <f t="shared" si="12"/>
        <v>0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114603.78</v>
      </c>
      <c r="J87" s="41"/>
      <c r="K87" s="62" t="s">
        <v>59</v>
      </c>
      <c r="L87" s="113">
        <v>4110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</v>
      </c>
      <c r="B88" s="57">
        <v>0</v>
      </c>
      <c r="C88" s="57">
        <v>1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5525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 t="str">
        <f>IFERROR(3412.14/K82,"")</f>
        <v/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K90:L90"/>
    <mergeCell ref="B91:B92"/>
    <mergeCell ref="C91:I92"/>
    <mergeCell ref="K91:L91"/>
    <mergeCell ref="K92:L92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A85:A86"/>
    <mergeCell ref="B85:B86"/>
    <mergeCell ref="C85:C86"/>
    <mergeCell ref="D85:D86"/>
    <mergeCell ref="H85:I8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H41:H42"/>
    <mergeCell ref="I41:I42"/>
    <mergeCell ref="K44:L44"/>
    <mergeCell ref="C45:I46"/>
    <mergeCell ref="K45:L45"/>
    <mergeCell ref="K46:L46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A39:A40"/>
    <mergeCell ref="B39:B40"/>
    <mergeCell ref="C39:C40"/>
    <mergeCell ref="D39:D40"/>
    <mergeCell ref="H39:I40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1:C1"/>
    <mergeCell ref="D1:U2"/>
    <mergeCell ref="V1:X4"/>
    <mergeCell ref="A2:C2"/>
    <mergeCell ref="A3:C3"/>
    <mergeCell ref="D3:U4"/>
    <mergeCell ref="A4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3867-81D0-409E-8E70-EB5E22CEE7DD}">
  <dimension ref="A1:Z109"/>
  <sheetViews>
    <sheetView topLeftCell="A51" zoomScaleNormal="100" workbookViewId="0">
      <selection activeCell="B37" sqref="B37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7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86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172920</v>
      </c>
      <c r="C12" s="28">
        <v>0</v>
      </c>
      <c r="D12" s="28">
        <v>17466.75</v>
      </c>
      <c r="E12" s="28">
        <v>77.23</v>
      </c>
      <c r="F12" s="28">
        <v>77.930000000000007</v>
      </c>
      <c r="G12" s="28">
        <f t="shared" ref="G12:G35" si="0">+E12+F12</f>
        <v>155.16000000000003</v>
      </c>
      <c r="H12" s="28">
        <v>0</v>
      </c>
      <c r="I12" s="28">
        <v>0</v>
      </c>
      <c r="J12" s="112">
        <v>149</v>
      </c>
      <c r="K12" s="28">
        <f t="shared" ref="K12:K35" si="1">IF(J12=0,0,100*(G12-J12)/J12)</f>
        <v>4.1342281879194802</v>
      </c>
      <c r="L12" s="28"/>
      <c r="M12" s="28"/>
      <c r="N12" s="28">
        <f t="shared" ref="N12:N35" si="2">IFERROR(V12*1000*2.2*$K$46/G12/1000,"")</f>
        <v>9177.6516370198478</v>
      </c>
      <c r="O12" s="28" t="str">
        <f t="shared" ref="O12:O35" si="3">IF(OR(K12&gt;5,K12&lt;-5),G12-J12,"")</f>
        <v/>
      </c>
      <c r="P12" s="28">
        <v>8.0299999999999994</v>
      </c>
      <c r="Q12" s="28">
        <v>12.41</v>
      </c>
      <c r="R12" s="28">
        <v>16.41</v>
      </c>
      <c r="S12" s="28">
        <v>16.420000000000002</v>
      </c>
      <c r="T12" s="28">
        <v>16.420000000000002</v>
      </c>
      <c r="U12" s="28">
        <v>8.92</v>
      </c>
      <c r="V12" s="28">
        <f t="shared" ref="V12:V35" si="4">+SUM(P12:U12)</f>
        <v>78.61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176800</v>
      </c>
      <c r="C13" s="28">
        <v>0</v>
      </c>
      <c r="D13" s="28">
        <v>17797.099999999999</v>
      </c>
      <c r="E13" s="28">
        <v>79.099999999999994</v>
      </c>
      <c r="F13" s="28">
        <v>79.81</v>
      </c>
      <c r="G13" s="28">
        <f t="shared" si="0"/>
        <v>158.91</v>
      </c>
      <c r="H13" s="28">
        <v>0</v>
      </c>
      <c r="I13" s="28">
        <v>0</v>
      </c>
      <c r="J13" s="112">
        <v>164</v>
      </c>
      <c r="K13" s="28">
        <f t="shared" si="1"/>
        <v>-3.1036585365853679</v>
      </c>
      <c r="L13" s="28"/>
      <c r="M13" s="28"/>
      <c r="N13" s="28">
        <f t="shared" si="2"/>
        <v>9073.9291422817951</v>
      </c>
      <c r="O13" s="28" t="str">
        <f t="shared" si="3"/>
        <v/>
      </c>
      <c r="P13" s="28">
        <v>8.09</v>
      </c>
      <c r="Q13" s="28">
        <v>12.74</v>
      </c>
      <c r="R13" s="28">
        <v>16.739999999999998</v>
      </c>
      <c r="S13" s="28">
        <v>16.75</v>
      </c>
      <c r="T13" s="28">
        <v>16.75</v>
      </c>
      <c r="U13" s="28">
        <v>8.5299999999999994</v>
      </c>
      <c r="V13" s="28">
        <f t="shared" si="4"/>
        <v>79.599999999999994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177590</v>
      </c>
      <c r="C14" s="28">
        <v>0</v>
      </c>
      <c r="D14" s="28">
        <v>17421.919999999998</v>
      </c>
      <c r="E14" s="28">
        <v>79.540000000000006</v>
      </c>
      <c r="F14" s="28">
        <v>80.25</v>
      </c>
      <c r="G14" s="28">
        <f t="shared" si="0"/>
        <v>159.79000000000002</v>
      </c>
      <c r="H14" s="28">
        <v>0</v>
      </c>
      <c r="I14" s="28">
        <v>0</v>
      </c>
      <c r="J14" s="112">
        <v>159.94</v>
      </c>
      <c r="K14" s="28">
        <f t="shared" si="1"/>
        <v>-9.3785169438525232E-2</v>
      </c>
      <c r="L14" s="28"/>
      <c r="M14" s="28"/>
      <c r="N14" s="28">
        <f t="shared" si="2"/>
        <v>9087.4420677138733</v>
      </c>
      <c r="O14" s="28" t="str">
        <f t="shared" si="3"/>
        <v/>
      </c>
      <c r="P14" s="28">
        <v>8.31</v>
      </c>
      <c r="Q14" s="28">
        <v>12.81</v>
      </c>
      <c r="R14" s="28">
        <v>16.8</v>
      </c>
      <c r="S14" s="28">
        <v>16.8</v>
      </c>
      <c r="T14" s="28">
        <v>16.8</v>
      </c>
      <c r="U14" s="28">
        <v>8.64</v>
      </c>
      <c r="V14" s="28">
        <f t="shared" si="4"/>
        <v>80.16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177600</v>
      </c>
      <c r="C15" s="28">
        <v>0</v>
      </c>
      <c r="D15" s="28">
        <v>17378.440000000002</v>
      </c>
      <c r="E15" s="28">
        <v>79.569999999999993</v>
      </c>
      <c r="F15" s="28">
        <v>80.28</v>
      </c>
      <c r="G15" s="28">
        <f t="shared" si="0"/>
        <v>159.85</v>
      </c>
      <c r="H15" s="28">
        <v>0</v>
      </c>
      <c r="I15" s="28">
        <v>0</v>
      </c>
      <c r="J15" s="112">
        <v>164</v>
      </c>
      <c r="K15" s="28">
        <f t="shared" si="1"/>
        <v>-2.5304878048780521</v>
      </c>
      <c r="L15" s="28"/>
      <c r="M15" s="28"/>
      <c r="N15" s="28">
        <f t="shared" si="2"/>
        <v>9097.6299280575549</v>
      </c>
      <c r="O15" s="28" t="str">
        <f t="shared" si="3"/>
        <v/>
      </c>
      <c r="P15" s="28">
        <v>8.3000000000000007</v>
      </c>
      <c r="Q15" s="28">
        <v>12.8</v>
      </c>
      <c r="R15" s="28">
        <v>16.8</v>
      </c>
      <c r="S15" s="28">
        <v>16.8</v>
      </c>
      <c r="T15" s="28">
        <v>16.8</v>
      </c>
      <c r="U15" s="28">
        <v>8.7799999999999994</v>
      </c>
      <c r="V15" s="28">
        <f t="shared" si="4"/>
        <v>80.28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177280</v>
      </c>
      <c r="C16" s="28">
        <v>0</v>
      </c>
      <c r="D16" s="28">
        <v>18676.03</v>
      </c>
      <c r="E16" s="28">
        <v>79.33</v>
      </c>
      <c r="F16" s="28">
        <v>80.03</v>
      </c>
      <c r="G16" s="28">
        <f t="shared" si="0"/>
        <v>159.36000000000001</v>
      </c>
      <c r="H16" s="28">
        <v>0</v>
      </c>
      <c r="I16" s="28">
        <v>0</v>
      </c>
      <c r="J16" s="112">
        <v>164</v>
      </c>
      <c r="K16" s="28">
        <f t="shared" si="1"/>
        <v>-2.8292682926829187</v>
      </c>
      <c r="L16" s="28"/>
      <c r="M16" s="28"/>
      <c r="N16" s="28">
        <f t="shared" si="2"/>
        <v>9149.4744728915648</v>
      </c>
      <c r="O16" s="28" t="str">
        <f t="shared" si="3"/>
        <v/>
      </c>
      <c r="P16" s="28">
        <v>8.4600000000000009</v>
      </c>
      <c r="Q16" s="28">
        <v>12.8</v>
      </c>
      <c r="R16" s="28">
        <v>16.8</v>
      </c>
      <c r="S16" s="28">
        <v>16.8</v>
      </c>
      <c r="T16" s="28">
        <v>16.8</v>
      </c>
      <c r="U16" s="28">
        <v>8.83</v>
      </c>
      <c r="V16" s="28">
        <f t="shared" si="4"/>
        <v>80.489999999999995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176590</v>
      </c>
      <c r="C17" s="28">
        <v>0</v>
      </c>
      <c r="D17" s="28">
        <v>20249.18</v>
      </c>
      <c r="E17" s="28">
        <v>78.930000000000007</v>
      </c>
      <c r="F17" s="28">
        <v>79.63</v>
      </c>
      <c r="G17" s="28">
        <f t="shared" si="0"/>
        <v>158.56</v>
      </c>
      <c r="H17" s="28">
        <v>0</v>
      </c>
      <c r="I17" s="28">
        <v>0</v>
      </c>
      <c r="J17" s="112">
        <v>151.97</v>
      </c>
      <c r="K17" s="28">
        <f t="shared" si="1"/>
        <v>4.3363821806935601</v>
      </c>
      <c r="L17" s="28" t="s">
        <v>84</v>
      </c>
      <c r="M17" s="28" t="s">
        <v>90</v>
      </c>
      <c r="N17" s="28">
        <f t="shared" si="2"/>
        <v>9202.4920534813318</v>
      </c>
      <c r="O17" s="28" t="str">
        <f t="shared" si="3"/>
        <v/>
      </c>
      <c r="P17" s="28">
        <v>8.3800000000000008</v>
      </c>
      <c r="Q17" s="28">
        <v>12.85</v>
      </c>
      <c r="R17" s="28">
        <v>16.850000000000001</v>
      </c>
      <c r="S17" s="28">
        <v>16.850000000000001</v>
      </c>
      <c r="T17" s="28">
        <v>16.850000000000001</v>
      </c>
      <c r="U17" s="28">
        <v>8.77</v>
      </c>
      <c r="V17" s="28">
        <f t="shared" si="4"/>
        <v>80.55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175340</v>
      </c>
      <c r="C18" s="28">
        <v>0</v>
      </c>
      <c r="D18" s="28">
        <v>20038.120000000003</v>
      </c>
      <c r="E18" s="28">
        <v>78.45</v>
      </c>
      <c r="F18" s="28">
        <v>79.14</v>
      </c>
      <c r="G18" s="28">
        <f t="shared" si="0"/>
        <v>157.59</v>
      </c>
      <c r="H18" s="28">
        <v>0</v>
      </c>
      <c r="I18" s="28">
        <v>0</v>
      </c>
      <c r="J18" s="112">
        <v>127.97</v>
      </c>
      <c r="K18" s="28">
        <f t="shared" si="1"/>
        <v>23.146049855434871</v>
      </c>
      <c r="L18" s="28" t="s">
        <v>84</v>
      </c>
      <c r="M18" s="28" t="s">
        <v>90</v>
      </c>
      <c r="N18" s="28">
        <f t="shared" si="2"/>
        <v>9164.8772384034528</v>
      </c>
      <c r="O18" s="28">
        <f t="shared" si="3"/>
        <v>29.620000000000005</v>
      </c>
      <c r="P18" s="28">
        <v>8.18</v>
      </c>
      <c r="Q18" s="28">
        <v>12.79</v>
      </c>
      <c r="R18" s="28">
        <v>16.79</v>
      </c>
      <c r="S18" s="28">
        <v>16.79</v>
      </c>
      <c r="T18" s="28">
        <v>16.79</v>
      </c>
      <c r="U18" s="28">
        <v>8.39</v>
      </c>
      <c r="V18" s="28">
        <f t="shared" si="4"/>
        <v>79.73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140740</v>
      </c>
      <c r="C19" s="28">
        <v>0</v>
      </c>
      <c r="D19" s="28">
        <v>15051.75</v>
      </c>
      <c r="E19" s="28">
        <v>62.14</v>
      </c>
      <c r="F19" s="28">
        <v>62.7</v>
      </c>
      <c r="G19" s="28">
        <f t="shared" si="0"/>
        <v>124.84</v>
      </c>
      <c r="H19" s="28">
        <v>0</v>
      </c>
      <c r="I19" s="28">
        <v>0</v>
      </c>
      <c r="J19" s="112">
        <v>97.97</v>
      </c>
      <c r="K19" s="28">
        <f t="shared" si="1"/>
        <v>27.426763294886193</v>
      </c>
      <c r="L19" s="28" t="s">
        <v>88</v>
      </c>
      <c r="M19" s="28" t="s">
        <v>90</v>
      </c>
      <c r="N19" s="28">
        <f t="shared" si="2"/>
        <v>9367.9228452419102</v>
      </c>
      <c r="O19" s="28">
        <f t="shared" si="3"/>
        <v>26.870000000000005</v>
      </c>
      <c r="P19" s="28">
        <v>8.0500000000000007</v>
      </c>
      <c r="Q19" s="28">
        <v>9</v>
      </c>
      <c r="R19" s="28">
        <v>13.02</v>
      </c>
      <c r="S19" s="28">
        <v>13.01</v>
      </c>
      <c r="T19" s="28">
        <v>13.01</v>
      </c>
      <c r="U19" s="28">
        <v>8.4700000000000006</v>
      </c>
      <c r="V19" s="28">
        <f t="shared" si="4"/>
        <v>64.56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107910</v>
      </c>
      <c r="C20" s="28">
        <v>0</v>
      </c>
      <c r="D20" s="28">
        <v>10465.1</v>
      </c>
      <c r="E20" s="28">
        <v>46.22</v>
      </c>
      <c r="F20" s="28">
        <v>46.65</v>
      </c>
      <c r="G20" s="28">
        <f t="shared" si="0"/>
        <v>92.87</v>
      </c>
      <c r="H20" s="28">
        <v>0</v>
      </c>
      <c r="I20" s="28">
        <v>0</v>
      </c>
      <c r="J20" s="112">
        <v>90</v>
      </c>
      <c r="K20" s="28">
        <f t="shared" si="1"/>
        <v>3.188888888888894</v>
      </c>
      <c r="L20" s="28" t="s">
        <v>89</v>
      </c>
      <c r="M20" s="28" t="s">
        <v>90</v>
      </c>
      <c r="N20" s="28">
        <f t="shared" si="2"/>
        <v>10527.14284483687</v>
      </c>
      <c r="O20" s="28" t="str">
        <f t="shared" si="3"/>
        <v/>
      </c>
      <c r="P20" s="28">
        <v>8</v>
      </c>
      <c r="Q20" s="28">
        <v>6.53</v>
      </c>
      <c r="R20" s="28">
        <v>10.53</v>
      </c>
      <c r="S20" s="28">
        <v>10.51</v>
      </c>
      <c r="T20" s="28">
        <v>10.53</v>
      </c>
      <c r="U20" s="28">
        <v>7.87</v>
      </c>
      <c r="V20" s="28">
        <f t="shared" si="4"/>
        <v>53.97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106240</v>
      </c>
      <c r="C21" s="28">
        <v>0</v>
      </c>
      <c r="D21" s="28">
        <v>9395.0300000000007</v>
      </c>
      <c r="E21" s="28">
        <v>45.44</v>
      </c>
      <c r="F21" s="28">
        <v>45.86</v>
      </c>
      <c r="G21" s="28">
        <f t="shared" si="0"/>
        <v>91.3</v>
      </c>
      <c r="H21" s="28">
        <v>0</v>
      </c>
      <c r="I21" s="28">
        <v>0</v>
      </c>
      <c r="J21" s="112">
        <v>90</v>
      </c>
      <c r="K21" s="28">
        <f t="shared" si="1"/>
        <v>1.4444444444444413</v>
      </c>
      <c r="L21" s="28"/>
      <c r="M21" s="28"/>
      <c r="N21" s="28">
        <f t="shared" si="2"/>
        <v>12366.872771084338</v>
      </c>
      <c r="O21" s="28" t="str">
        <f t="shared" si="3"/>
        <v/>
      </c>
      <c r="P21" s="28">
        <v>8.0500000000000007</v>
      </c>
      <c r="Q21" s="28">
        <v>8.31</v>
      </c>
      <c r="R21" s="28">
        <v>12.31</v>
      </c>
      <c r="S21" s="28">
        <v>12.31</v>
      </c>
      <c r="T21" s="28">
        <v>12.3</v>
      </c>
      <c r="U21" s="28">
        <v>9.0500000000000007</v>
      </c>
      <c r="V21" s="28">
        <f t="shared" si="4"/>
        <v>62.33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105200</v>
      </c>
      <c r="C22" s="28">
        <v>0</v>
      </c>
      <c r="D22" s="28">
        <v>8264.18</v>
      </c>
      <c r="E22" s="28">
        <v>45.06</v>
      </c>
      <c r="F22" s="28">
        <v>45.49</v>
      </c>
      <c r="G22" s="28">
        <f t="shared" si="0"/>
        <v>90.550000000000011</v>
      </c>
      <c r="H22" s="28">
        <v>0</v>
      </c>
      <c r="I22" s="28">
        <v>0</v>
      </c>
      <c r="J22" s="112">
        <v>90</v>
      </c>
      <c r="K22" s="28">
        <f t="shared" si="1"/>
        <v>0.61111111111112371</v>
      </c>
      <c r="L22" s="28"/>
      <c r="M22" s="28"/>
      <c r="N22" s="28">
        <f t="shared" si="2"/>
        <v>10668.826990612921</v>
      </c>
      <c r="O22" s="28" t="str">
        <f t="shared" si="3"/>
        <v/>
      </c>
      <c r="P22" s="28">
        <v>8.14</v>
      </c>
      <c r="Q22" s="28">
        <v>7.89</v>
      </c>
      <c r="R22" s="28">
        <v>11.9</v>
      </c>
      <c r="S22" s="28">
        <v>11.9</v>
      </c>
      <c r="T22" s="28">
        <v>11.89</v>
      </c>
      <c r="U22" s="28">
        <v>1.61</v>
      </c>
      <c r="V22" s="28">
        <f t="shared" si="4"/>
        <v>53.33</v>
      </c>
      <c r="W22" s="28">
        <f>3.7/3</f>
        <v>1.2333333333333334</v>
      </c>
      <c r="X22" s="28">
        <v>0</v>
      </c>
    </row>
    <row r="23" spans="1:26" ht="16.5" x14ac:dyDescent="0.3">
      <c r="A23" s="30">
        <v>12</v>
      </c>
      <c r="B23" s="28">
        <v>105100</v>
      </c>
      <c r="C23" s="28">
        <v>0</v>
      </c>
      <c r="D23" s="28">
        <v>9031.86</v>
      </c>
      <c r="E23" s="28">
        <v>45.05</v>
      </c>
      <c r="F23" s="28">
        <v>45.48</v>
      </c>
      <c r="G23" s="28">
        <f t="shared" si="0"/>
        <v>90.53</v>
      </c>
      <c r="H23" s="28">
        <v>0</v>
      </c>
      <c r="I23" s="28">
        <v>0</v>
      </c>
      <c r="J23" s="112">
        <v>90</v>
      </c>
      <c r="K23" s="28">
        <f t="shared" si="1"/>
        <v>0.58888888888889013</v>
      </c>
      <c r="L23" s="28"/>
      <c r="M23" s="28"/>
      <c r="N23" s="28">
        <f t="shared" si="2"/>
        <v>10915.302551640343</v>
      </c>
      <c r="O23" s="28" t="str">
        <f t="shared" si="3"/>
        <v/>
      </c>
      <c r="P23" s="28">
        <v>8.4499999999999993</v>
      </c>
      <c r="Q23" s="28">
        <v>6.62</v>
      </c>
      <c r="R23" s="28">
        <v>10.63</v>
      </c>
      <c r="S23" s="28">
        <v>10.63</v>
      </c>
      <c r="T23" s="28">
        <v>10.61</v>
      </c>
      <c r="U23" s="28">
        <v>7.61</v>
      </c>
      <c r="V23" s="28">
        <f t="shared" si="4"/>
        <v>54.550000000000004</v>
      </c>
      <c r="W23" s="28">
        <f t="shared" ref="W23:W24" si="5">3.7/3</f>
        <v>1.2333333333333334</v>
      </c>
      <c r="X23" s="28">
        <v>0</v>
      </c>
    </row>
    <row r="24" spans="1:26" ht="16.5" x14ac:dyDescent="0.3">
      <c r="A24" s="30">
        <v>13</v>
      </c>
      <c r="B24" s="28">
        <v>105180</v>
      </c>
      <c r="C24" s="28">
        <v>0</v>
      </c>
      <c r="D24" s="28">
        <v>9661.43</v>
      </c>
      <c r="E24" s="28">
        <v>45.19</v>
      </c>
      <c r="F24" s="28">
        <v>45.61</v>
      </c>
      <c r="G24" s="28">
        <f t="shared" si="0"/>
        <v>90.8</v>
      </c>
      <c r="H24" s="28">
        <v>0</v>
      </c>
      <c r="I24" s="28">
        <v>0</v>
      </c>
      <c r="J24" s="112">
        <v>90</v>
      </c>
      <c r="K24" s="28">
        <f t="shared" si="1"/>
        <v>0.88888888888888573</v>
      </c>
      <c r="L24" s="28"/>
      <c r="M24" s="28"/>
      <c r="N24" s="28">
        <f t="shared" si="2"/>
        <v>10876.860088105728</v>
      </c>
      <c r="O24" s="28" t="str">
        <f t="shared" si="3"/>
        <v/>
      </c>
      <c r="P24" s="28">
        <v>8.42</v>
      </c>
      <c r="Q24" s="28">
        <v>6.68</v>
      </c>
      <c r="R24" s="28">
        <v>10.67</v>
      </c>
      <c r="S24" s="28">
        <v>10.68</v>
      </c>
      <c r="T24" s="28">
        <v>10.67</v>
      </c>
      <c r="U24" s="28">
        <v>7.4</v>
      </c>
      <c r="V24" s="28">
        <f t="shared" si="4"/>
        <v>54.52</v>
      </c>
      <c r="W24" s="28">
        <f t="shared" si="5"/>
        <v>1.2333333333333334</v>
      </c>
      <c r="X24" s="28">
        <v>0</v>
      </c>
    </row>
    <row r="25" spans="1:26" ht="16.5" x14ac:dyDescent="0.3">
      <c r="A25" s="30">
        <v>14</v>
      </c>
      <c r="B25" s="28">
        <v>105150</v>
      </c>
      <c r="C25" s="28">
        <v>0</v>
      </c>
      <c r="D25" s="28">
        <v>7651.9</v>
      </c>
      <c r="E25" s="28">
        <v>45.22</v>
      </c>
      <c r="F25" s="28">
        <v>45.64</v>
      </c>
      <c r="G25" s="28">
        <f t="shared" si="0"/>
        <v>90.86</v>
      </c>
      <c r="H25" s="28">
        <v>0</v>
      </c>
      <c r="I25" s="28">
        <v>0</v>
      </c>
      <c r="J25" s="112">
        <v>90</v>
      </c>
      <c r="K25" s="28">
        <f t="shared" si="1"/>
        <v>0.95555555555555494</v>
      </c>
      <c r="L25" s="28"/>
      <c r="M25" s="28"/>
      <c r="N25" s="28">
        <f t="shared" si="2"/>
        <v>10919.5200968523</v>
      </c>
      <c r="O25" s="28" t="str">
        <f t="shared" si="3"/>
        <v/>
      </c>
      <c r="P25" s="28">
        <v>8.32</v>
      </c>
      <c r="Q25" s="28">
        <v>6.79</v>
      </c>
      <c r="R25" s="28">
        <v>10.81</v>
      </c>
      <c r="S25" s="28">
        <v>10.78</v>
      </c>
      <c r="T25" s="28">
        <v>10.8</v>
      </c>
      <c r="U25" s="28">
        <v>7.27</v>
      </c>
      <c r="V25" s="28">
        <f t="shared" si="4"/>
        <v>54.769999999999996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105130</v>
      </c>
      <c r="C26" s="28">
        <v>71.11</v>
      </c>
      <c r="D26" s="28">
        <v>3688.1400000000003</v>
      </c>
      <c r="E26" s="28">
        <v>45.19</v>
      </c>
      <c r="F26" s="28">
        <v>45.62</v>
      </c>
      <c r="G26" s="28">
        <f t="shared" si="0"/>
        <v>90.81</v>
      </c>
      <c r="H26" s="28">
        <v>0</v>
      </c>
      <c r="I26" s="28">
        <v>0</v>
      </c>
      <c r="J26" s="112">
        <v>90</v>
      </c>
      <c r="K26" s="28">
        <f t="shared" si="1"/>
        <v>0.90000000000000258</v>
      </c>
      <c r="L26" s="28"/>
      <c r="M26" s="28"/>
      <c r="N26" s="28">
        <f t="shared" si="2"/>
        <v>10967.423235326509</v>
      </c>
      <c r="O26" s="28" t="str">
        <f t="shared" si="3"/>
        <v/>
      </c>
      <c r="P26" s="28">
        <v>8.39</v>
      </c>
      <c r="Q26" s="28">
        <v>6.81</v>
      </c>
      <c r="R26" s="28">
        <v>10.81</v>
      </c>
      <c r="S26" s="28">
        <v>10.78</v>
      </c>
      <c r="T26" s="28">
        <v>10.8</v>
      </c>
      <c r="U26" s="28">
        <v>7.39</v>
      </c>
      <c r="V26" s="28">
        <f t="shared" si="4"/>
        <v>54.980000000000004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114360</v>
      </c>
      <c r="C27" s="28">
        <v>0</v>
      </c>
      <c r="D27" s="28">
        <v>7627.0599999999995</v>
      </c>
      <c r="E27" s="28">
        <v>49.48</v>
      </c>
      <c r="F27" s="28">
        <v>49.93</v>
      </c>
      <c r="G27" s="28">
        <f t="shared" si="0"/>
        <v>99.41</v>
      </c>
      <c r="H27" s="28">
        <v>0</v>
      </c>
      <c r="I27" s="28">
        <v>0</v>
      </c>
      <c r="J27" s="112">
        <v>90</v>
      </c>
      <c r="K27" s="28">
        <f t="shared" si="1"/>
        <v>10.455555555555552</v>
      </c>
      <c r="L27" s="28" t="s">
        <v>87</v>
      </c>
      <c r="M27" s="28" t="s">
        <v>90</v>
      </c>
      <c r="N27" s="28">
        <f t="shared" si="2"/>
        <v>10834.986500352081</v>
      </c>
      <c r="O27" s="28">
        <f t="shared" si="3"/>
        <v>9.4099999999999966</v>
      </c>
      <c r="P27" s="28">
        <v>8.4</v>
      </c>
      <c r="Q27" s="28">
        <v>7.88</v>
      </c>
      <c r="R27" s="28">
        <v>11.88</v>
      </c>
      <c r="S27" s="28">
        <v>11.89</v>
      </c>
      <c r="T27" s="28">
        <v>11.89</v>
      </c>
      <c r="U27" s="28">
        <v>7.52</v>
      </c>
      <c r="V27" s="28">
        <f t="shared" si="4"/>
        <v>59.460000000000008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153420</v>
      </c>
      <c r="C28" s="28">
        <v>0</v>
      </c>
      <c r="D28" s="28">
        <v>16761.2</v>
      </c>
      <c r="E28" s="28">
        <v>68.03</v>
      </c>
      <c r="F28" s="28">
        <v>68.62</v>
      </c>
      <c r="G28" s="28">
        <f t="shared" si="0"/>
        <v>136.65</v>
      </c>
      <c r="H28" s="28">
        <v>0</v>
      </c>
      <c r="I28" s="28">
        <v>0</v>
      </c>
      <c r="J28" s="112">
        <v>109</v>
      </c>
      <c r="K28" s="28">
        <f t="shared" si="1"/>
        <v>25.366972477064223</v>
      </c>
      <c r="L28" s="28" t="s">
        <v>87</v>
      </c>
      <c r="M28" s="28" t="s">
        <v>90</v>
      </c>
      <c r="N28" s="28">
        <f t="shared" si="2"/>
        <v>10005.891723380897</v>
      </c>
      <c r="O28" s="28">
        <f t="shared" si="3"/>
        <v>27.650000000000006</v>
      </c>
      <c r="P28" s="28">
        <v>8.26</v>
      </c>
      <c r="Q28" s="28">
        <v>11.94</v>
      </c>
      <c r="R28" s="28">
        <v>15.93</v>
      </c>
      <c r="S28" s="28">
        <v>15.93</v>
      </c>
      <c r="T28" s="28">
        <v>15.93</v>
      </c>
      <c r="U28" s="28">
        <v>7.49</v>
      </c>
      <c r="V28" s="28">
        <f t="shared" si="4"/>
        <v>75.47999999999999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173830</v>
      </c>
      <c r="C29" s="28">
        <v>0</v>
      </c>
      <c r="D29" s="28">
        <v>24539.86</v>
      </c>
      <c r="E29" s="28">
        <v>77.819999999999993</v>
      </c>
      <c r="F29" s="28">
        <v>78.48</v>
      </c>
      <c r="G29" s="28">
        <f t="shared" si="0"/>
        <v>156.30000000000001</v>
      </c>
      <c r="H29" s="28">
        <v>0</v>
      </c>
      <c r="I29" s="28">
        <v>0</v>
      </c>
      <c r="J29" s="112">
        <v>134</v>
      </c>
      <c r="K29" s="28">
        <f t="shared" si="1"/>
        <v>16.641791044776127</v>
      </c>
      <c r="L29" s="28" t="s">
        <v>87</v>
      </c>
      <c r="M29" s="28" t="s">
        <v>90</v>
      </c>
      <c r="N29" s="28">
        <f t="shared" si="2"/>
        <v>9551.1239155470284</v>
      </c>
      <c r="O29" s="28">
        <f t="shared" si="3"/>
        <v>22.300000000000011</v>
      </c>
      <c r="P29" s="28">
        <v>8.11</v>
      </c>
      <c r="Q29" s="28">
        <v>13.68</v>
      </c>
      <c r="R29" s="28">
        <v>17.670000000000002</v>
      </c>
      <c r="S29" s="28">
        <v>17.670000000000002</v>
      </c>
      <c r="T29" s="28">
        <v>17.670000000000002</v>
      </c>
      <c r="U29" s="28">
        <v>7.61</v>
      </c>
      <c r="V29" s="28">
        <f t="shared" si="4"/>
        <v>82.410000000000011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176180</v>
      </c>
      <c r="C30" s="28">
        <v>0</v>
      </c>
      <c r="D30" s="28">
        <v>27624.32</v>
      </c>
      <c r="E30" s="28">
        <v>79.040000000000006</v>
      </c>
      <c r="F30" s="28">
        <v>79.709999999999994</v>
      </c>
      <c r="G30" s="28">
        <f t="shared" si="0"/>
        <v>158.75</v>
      </c>
      <c r="H30" s="28">
        <v>0</v>
      </c>
      <c r="I30" s="28">
        <v>0</v>
      </c>
      <c r="J30" s="112">
        <v>164</v>
      </c>
      <c r="K30" s="28">
        <f t="shared" si="1"/>
        <v>-3.2012195121951219</v>
      </c>
      <c r="L30" s="28"/>
      <c r="M30" s="28"/>
      <c r="N30" s="28">
        <f t="shared" si="2"/>
        <v>9451.6465133858292</v>
      </c>
      <c r="O30" s="28" t="str">
        <f t="shared" si="3"/>
        <v/>
      </c>
      <c r="P30" s="28">
        <v>7.97</v>
      </c>
      <c r="Q30" s="28">
        <v>13.52</v>
      </c>
      <c r="R30" s="28">
        <v>17.52</v>
      </c>
      <c r="S30" s="28">
        <v>17.79</v>
      </c>
      <c r="T30" s="28">
        <v>18.28</v>
      </c>
      <c r="U30" s="28">
        <v>7.75</v>
      </c>
      <c r="V30" s="28">
        <f t="shared" si="4"/>
        <v>82.83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177240</v>
      </c>
      <c r="C31" s="28">
        <v>0</v>
      </c>
      <c r="D31" s="28">
        <v>23413.980000000003</v>
      </c>
      <c r="E31" s="28">
        <v>79.33</v>
      </c>
      <c r="F31" s="28">
        <v>80.02</v>
      </c>
      <c r="G31" s="28">
        <f t="shared" si="0"/>
        <v>159.35</v>
      </c>
      <c r="H31" s="28">
        <v>0</v>
      </c>
      <c r="I31" s="28">
        <v>0</v>
      </c>
      <c r="J31" s="112">
        <v>164</v>
      </c>
      <c r="K31" s="28">
        <f t="shared" si="1"/>
        <v>-2.8353658536585402</v>
      </c>
      <c r="L31" s="28"/>
      <c r="M31" s="28"/>
      <c r="N31" s="28">
        <f t="shared" si="2"/>
        <v>9388.7752243489194</v>
      </c>
      <c r="O31" s="28" t="str">
        <f t="shared" si="3"/>
        <v/>
      </c>
      <c r="P31" s="28">
        <v>8.08</v>
      </c>
      <c r="Q31" s="28">
        <v>13.21</v>
      </c>
      <c r="R31" s="28">
        <v>17.21</v>
      </c>
      <c r="S31" s="28">
        <v>17.71</v>
      </c>
      <c r="T31" s="28">
        <v>18.71</v>
      </c>
      <c r="U31" s="28">
        <v>7.67</v>
      </c>
      <c r="V31" s="28">
        <f t="shared" si="4"/>
        <v>82.59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176710</v>
      </c>
      <c r="C32" s="28">
        <v>0</v>
      </c>
      <c r="D32" s="28">
        <v>21540.34</v>
      </c>
      <c r="E32" s="28">
        <v>79.05</v>
      </c>
      <c r="F32" s="28">
        <v>79.78</v>
      </c>
      <c r="G32" s="28">
        <f t="shared" si="0"/>
        <v>158.82999999999998</v>
      </c>
      <c r="H32" s="28">
        <v>0</v>
      </c>
      <c r="I32" s="28">
        <v>0</v>
      </c>
      <c r="J32" s="112">
        <v>164</v>
      </c>
      <c r="K32" s="28">
        <f t="shared" si="1"/>
        <v>-3.1524390243902536</v>
      </c>
      <c r="L32" s="28"/>
      <c r="M32" s="28"/>
      <c r="N32" s="28">
        <f t="shared" si="2"/>
        <v>9375.0334319712929</v>
      </c>
      <c r="O32" s="28" t="str">
        <f t="shared" si="3"/>
        <v/>
      </c>
      <c r="P32" s="28">
        <v>8.0399999999999991</v>
      </c>
      <c r="Q32" s="28">
        <v>13.11</v>
      </c>
      <c r="R32" s="28">
        <v>17.100000000000001</v>
      </c>
      <c r="S32" s="28">
        <v>17.600000000000001</v>
      </c>
      <c r="T32" s="28">
        <v>18.64</v>
      </c>
      <c r="U32" s="28">
        <v>7.71</v>
      </c>
      <c r="V32" s="28">
        <f t="shared" si="4"/>
        <v>82.2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177050</v>
      </c>
      <c r="C33" s="28">
        <v>0</v>
      </c>
      <c r="D33" s="28">
        <v>19139.54</v>
      </c>
      <c r="E33" s="28">
        <v>79.19</v>
      </c>
      <c r="F33" s="28">
        <v>79.94</v>
      </c>
      <c r="G33" s="28">
        <f t="shared" si="0"/>
        <v>159.13</v>
      </c>
      <c r="H33" s="28">
        <v>0</v>
      </c>
      <c r="I33" s="28">
        <v>0</v>
      </c>
      <c r="J33" s="112">
        <v>164</v>
      </c>
      <c r="K33" s="28">
        <f t="shared" si="1"/>
        <v>-2.9695121951219541</v>
      </c>
      <c r="L33" s="28"/>
      <c r="M33" s="28"/>
      <c r="N33" s="28">
        <f t="shared" si="2"/>
        <v>9342.5603971595556</v>
      </c>
      <c r="O33" s="28" t="str">
        <f t="shared" si="3"/>
        <v/>
      </c>
      <c r="P33" s="28">
        <v>8.11</v>
      </c>
      <c r="Q33" s="28">
        <v>13.03</v>
      </c>
      <c r="R33" s="28">
        <v>17.04</v>
      </c>
      <c r="S33" s="28">
        <v>17.54</v>
      </c>
      <c r="T33" s="28">
        <v>18.53</v>
      </c>
      <c r="U33" s="28">
        <v>7.82</v>
      </c>
      <c r="V33" s="28">
        <f t="shared" si="4"/>
        <v>82.07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176490</v>
      </c>
      <c r="C34" s="28">
        <v>0</v>
      </c>
      <c r="D34" s="28">
        <v>16812.54</v>
      </c>
      <c r="E34" s="28">
        <v>78.94</v>
      </c>
      <c r="F34" s="28">
        <v>79.69</v>
      </c>
      <c r="G34" s="28">
        <f t="shared" si="0"/>
        <v>158.63</v>
      </c>
      <c r="H34" s="28">
        <v>0</v>
      </c>
      <c r="I34" s="28">
        <v>0</v>
      </c>
      <c r="J34" s="112">
        <v>164</v>
      </c>
      <c r="K34" s="28">
        <f t="shared" si="1"/>
        <v>-3.2743902439024417</v>
      </c>
      <c r="L34" s="28"/>
      <c r="M34" s="28"/>
      <c r="N34" s="28">
        <f t="shared" si="2"/>
        <v>9324.0460190380145</v>
      </c>
      <c r="O34" s="28" t="str">
        <f t="shared" si="3"/>
        <v/>
      </c>
      <c r="P34" s="28">
        <v>8.0399999999999991</v>
      </c>
      <c r="Q34" s="28">
        <v>12.99</v>
      </c>
      <c r="R34" s="28">
        <v>17</v>
      </c>
      <c r="S34" s="28">
        <v>17.510000000000002</v>
      </c>
      <c r="T34" s="28">
        <v>18.5</v>
      </c>
      <c r="U34" s="28">
        <v>7.61</v>
      </c>
      <c r="V34" s="28">
        <f t="shared" si="4"/>
        <v>81.650000000000006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176260</v>
      </c>
      <c r="C35" s="28">
        <v>0</v>
      </c>
      <c r="D35" s="28">
        <v>18167.62</v>
      </c>
      <c r="E35" s="28">
        <v>78.88</v>
      </c>
      <c r="F35" s="28">
        <v>79.62</v>
      </c>
      <c r="G35" s="28">
        <f t="shared" si="0"/>
        <v>158.5</v>
      </c>
      <c r="H35" s="28">
        <v>0</v>
      </c>
      <c r="I35" s="28">
        <v>0</v>
      </c>
      <c r="J35" s="112">
        <v>164</v>
      </c>
      <c r="K35" s="116">
        <f t="shared" si="1"/>
        <v>-3.3536585365853657</v>
      </c>
      <c r="L35" s="116"/>
      <c r="M35" s="117"/>
      <c r="N35" s="28">
        <f t="shared" si="2"/>
        <v>9351.1226246056776</v>
      </c>
      <c r="O35" s="28" t="str">
        <f t="shared" si="3"/>
        <v/>
      </c>
      <c r="P35" s="28">
        <v>8.0500000000000007</v>
      </c>
      <c r="Q35" s="28">
        <v>13.08</v>
      </c>
      <c r="R35" s="28">
        <v>17.07</v>
      </c>
      <c r="S35" s="28">
        <v>17.579999999999998</v>
      </c>
      <c r="T35" s="28">
        <v>18.57</v>
      </c>
      <c r="U35" s="28">
        <v>7.47</v>
      </c>
      <c r="V35" s="28">
        <f t="shared" si="4"/>
        <v>81.819999999999993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3616310</v>
      </c>
      <c r="C36" s="35">
        <f t="shared" ref="C36:J36" si="6">SUM(C12:C35)</f>
        <v>71.11</v>
      </c>
      <c r="D36" s="35">
        <f t="shared" si="6"/>
        <v>377863.38999999996</v>
      </c>
      <c r="E36" s="35">
        <f t="shared" si="6"/>
        <v>1601.42</v>
      </c>
      <c r="F36" s="35">
        <f t="shared" si="6"/>
        <v>1615.9100000000003</v>
      </c>
      <c r="G36" s="35">
        <f t="shared" si="6"/>
        <v>3217.33</v>
      </c>
      <c r="H36" s="35">
        <f t="shared" si="6"/>
        <v>0</v>
      </c>
      <c r="I36" s="35">
        <f t="shared" si="6"/>
        <v>0</v>
      </c>
      <c r="J36" s="35">
        <f t="shared" si="6"/>
        <v>3125.8500000000004</v>
      </c>
      <c r="K36" s="36"/>
      <c r="L36" s="37"/>
      <c r="M36" s="38"/>
      <c r="N36" s="35">
        <f>IFERROR(AVERAGE(N12:N35),"")</f>
        <v>9882.8564297224839</v>
      </c>
      <c r="O36" s="39">
        <f t="shared" ref="O36:U36" si="7">SUM(O12:O35)</f>
        <v>115.85000000000002</v>
      </c>
      <c r="P36" s="39">
        <f t="shared" si="7"/>
        <v>196.62999999999997</v>
      </c>
      <c r="Q36" s="39">
        <f t="shared" si="7"/>
        <v>260.27000000000004</v>
      </c>
      <c r="R36" s="39">
        <f t="shared" si="7"/>
        <v>356.29</v>
      </c>
      <c r="S36" s="39">
        <f t="shared" si="7"/>
        <v>359.03000000000003</v>
      </c>
      <c r="T36" s="39">
        <f t="shared" si="7"/>
        <v>364.54</v>
      </c>
      <c r="U36" s="39">
        <f t="shared" si="7"/>
        <v>186.18</v>
      </c>
      <c r="V36" s="39">
        <f>SUM(V12:V35)</f>
        <v>1722.94</v>
      </c>
      <c r="W36" s="40">
        <f>SUM(W12:W35)</f>
        <v>3.7</v>
      </c>
      <c r="X36" s="40">
        <f>SUM(X12:X35)</f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0</v>
      </c>
      <c r="J41" s="41"/>
      <c r="K41" s="13" t="s">
        <v>59</v>
      </c>
      <c r="L41" s="113">
        <v>402413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1</v>
      </c>
      <c r="B42" s="57">
        <v>0</v>
      </c>
      <c r="C42" s="57">
        <v>0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176438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>
        <f>IFERROR(3412.14/N36,"")</f>
        <v>0.34525848111463608</v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7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Omar E. Fedullo Rueda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1880.65</v>
      </c>
      <c r="D58" s="81">
        <v>0</v>
      </c>
      <c r="E58" s="82">
        <v>0</v>
      </c>
      <c r="F58" s="83">
        <v>4581.21</v>
      </c>
      <c r="G58" s="82">
        <v>0</v>
      </c>
      <c r="H58" s="84">
        <f t="shared" ref="H58:H81" si="8">IF(G58=0,0,100*(E58-G58)/G58)</f>
        <v>0</v>
      </c>
      <c r="I58" s="85"/>
      <c r="J58" s="85"/>
      <c r="K58" s="86" t="str">
        <f t="shared" ref="K58:K81" si="9">IFERROR(U58*1000*2.2*$K$92/E58/1000,"")</f>
        <v/>
      </c>
      <c r="L58" s="87" t="str">
        <f t="shared" ref="L58:L81" si="10">IF(OR(H58&gt;5,H58&lt;-5),E58-G58,"")</f>
        <v/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1966.36</v>
      </c>
      <c r="D59" s="81">
        <v>0</v>
      </c>
      <c r="E59" s="82">
        <v>0</v>
      </c>
      <c r="F59" s="82">
        <v>4506.32</v>
      </c>
      <c r="G59" s="82">
        <v>0</v>
      </c>
      <c r="H59" s="91">
        <f t="shared" si="8"/>
        <v>0</v>
      </c>
      <c r="I59" s="85"/>
      <c r="J59" s="85"/>
      <c r="K59" s="86" t="str">
        <f t="shared" si="9"/>
        <v/>
      </c>
      <c r="L59" s="87" t="str">
        <f t="shared" si="10"/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11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1997.51</v>
      </c>
      <c r="D60" s="81">
        <v>0</v>
      </c>
      <c r="E60" s="82">
        <v>0</v>
      </c>
      <c r="F60" s="82">
        <v>4420.13</v>
      </c>
      <c r="G60" s="82">
        <v>0</v>
      </c>
      <c r="H60" s="91">
        <f t="shared" si="8"/>
        <v>0</v>
      </c>
      <c r="I60" s="85"/>
      <c r="J60" s="85"/>
      <c r="K60" s="86" t="str">
        <f t="shared" si="9"/>
        <v/>
      </c>
      <c r="L60" s="87" t="str">
        <f t="shared" si="10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11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1969.85</v>
      </c>
      <c r="D61" s="81">
        <v>0</v>
      </c>
      <c r="E61" s="82">
        <v>0</v>
      </c>
      <c r="F61" s="82">
        <v>4497.1899999999996</v>
      </c>
      <c r="G61" s="82">
        <v>0</v>
      </c>
      <c r="H61" s="91">
        <f t="shared" si="8"/>
        <v>0</v>
      </c>
      <c r="I61" s="85"/>
      <c r="J61" s="85"/>
      <c r="K61" s="86" t="str">
        <f t="shared" si="9"/>
        <v/>
      </c>
      <c r="L61" s="87" t="str">
        <f t="shared" si="10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11"/>
        <v>0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1963.99</v>
      </c>
      <c r="D62" s="81">
        <v>0</v>
      </c>
      <c r="E62" s="82">
        <v>0</v>
      </c>
      <c r="F62" s="82">
        <v>4472.91</v>
      </c>
      <c r="G62" s="82">
        <v>0</v>
      </c>
      <c r="H62" s="91">
        <f t="shared" si="8"/>
        <v>0</v>
      </c>
      <c r="I62" s="85"/>
      <c r="J62" s="85"/>
      <c r="K62" s="86" t="str">
        <f t="shared" si="9"/>
        <v/>
      </c>
      <c r="L62" s="87" t="str">
        <f t="shared" si="10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11"/>
        <v>0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1968.34</v>
      </c>
      <c r="D63" s="81">
        <v>0</v>
      </c>
      <c r="E63" s="82">
        <v>0</v>
      </c>
      <c r="F63" s="82">
        <v>4407.95</v>
      </c>
      <c r="G63" s="82">
        <v>0</v>
      </c>
      <c r="H63" s="91">
        <f t="shared" si="8"/>
        <v>0</v>
      </c>
      <c r="I63" s="85"/>
      <c r="J63" s="85"/>
      <c r="K63" s="86" t="str">
        <f t="shared" si="9"/>
        <v/>
      </c>
      <c r="L63" s="87" t="str">
        <f t="shared" si="10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11"/>
        <v>0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1978.95</v>
      </c>
      <c r="D64" s="81">
        <v>0</v>
      </c>
      <c r="E64" s="82">
        <v>0</v>
      </c>
      <c r="F64" s="82">
        <v>4331.92</v>
      </c>
      <c r="G64" s="82">
        <v>0</v>
      </c>
      <c r="H64" s="91">
        <f t="shared" si="8"/>
        <v>0</v>
      </c>
      <c r="I64" s="85"/>
      <c r="J64" s="85"/>
      <c r="K64" s="86" t="str">
        <f t="shared" si="9"/>
        <v/>
      </c>
      <c r="L64" s="87" t="str">
        <f t="shared" si="10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11"/>
        <v>0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1850.77</v>
      </c>
      <c r="D65" s="81">
        <v>0</v>
      </c>
      <c r="E65" s="82">
        <v>0</v>
      </c>
      <c r="F65" s="82">
        <v>4515.18</v>
      </c>
      <c r="G65" s="82">
        <v>0</v>
      </c>
      <c r="H65" s="91">
        <f t="shared" si="8"/>
        <v>0</v>
      </c>
      <c r="I65" s="85"/>
      <c r="J65" s="85"/>
      <c r="K65" s="86" t="str">
        <f t="shared" si="9"/>
        <v/>
      </c>
      <c r="L65" s="87" t="str">
        <f t="shared" si="10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11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1775.92</v>
      </c>
      <c r="D66" s="81">
        <v>0</v>
      </c>
      <c r="E66" s="82">
        <v>0</v>
      </c>
      <c r="F66" s="82">
        <v>4668.17</v>
      </c>
      <c r="G66" s="82">
        <v>0</v>
      </c>
      <c r="H66" s="91">
        <f t="shared" si="8"/>
        <v>0</v>
      </c>
      <c r="I66" s="85"/>
      <c r="J66" s="85"/>
      <c r="K66" s="86" t="str">
        <f t="shared" si="9"/>
        <v/>
      </c>
      <c r="L66" s="87" t="str">
        <f t="shared" si="10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11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1717.46</v>
      </c>
      <c r="D67" s="81">
        <v>0</v>
      </c>
      <c r="E67" s="82">
        <v>0</v>
      </c>
      <c r="F67" s="82">
        <v>4734.34</v>
      </c>
      <c r="G67" s="82">
        <v>0</v>
      </c>
      <c r="H67" s="91">
        <f t="shared" si="8"/>
        <v>0</v>
      </c>
      <c r="I67" s="85"/>
      <c r="J67" s="85"/>
      <c r="K67" s="86" t="str">
        <f t="shared" si="9"/>
        <v/>
      </c>
      <c r="L67" s="87" t="str">
        <f t="shared" si="10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11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1659.91</v>
      </c>
      <c r="D68" s="81">
        <v>0</v>
      </c>
      <c r="E68" s="82">
        <v>0</v>
      </c>
      <c r="F68" s="82">
        <v>4883.8599999999997</v>
      </c>
      <c r="G68" s="82">
        <v>0</v>
      </c>
      <c r="H68" s="91">
        <f t="shared" si="8"/>
        <v>0</v>
      </c>
      <c r="I68" s="85"/>
      <c r="J68" s="85"/>
      <c r="K68" s="86" t="str">
        <f t="shared" si="9"/>
        <v/>
      </c>
      <c r="L68" s="87" t="str">
        <f t="shared" si="10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11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1576.97</v>
      </c>
      <c r="D69" s="81">
        <v>0</v>
      </c>
      <c r="E69" s="82">
        <v>0</v>
      </c>
      <c r="F69" s="82">
        <v>5100.87</v>
      </c>
      <c r="G69" s="82">
        <v>0</v>
      </c>
      <c r="H69" s="91">
        <f t="shared" si="8"/>
        <v>0</v>
      </c>
      <c r="I69" s="85"/>
      <c r="J69" s="85"/>
      <c r="K69" s="86" t="str">
        <f t="shared" si="9"/>
        <v/>
      </c>
      <c r="L69" s="87" t="str">
        <f t="shared" si="10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11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1585.88</v>
      </c>
      <c r="D70" s="81">
        <v>0</v>
      </c>
      <c r="E70" s="82">
        <v>0</v>
      </c>
      <c r="F70" s="82">
        <v>5033.54</v>
      </c>
      <c r="G70" s="82">
        <v>0</v>
      </c>
      <c r="H70" s="91">
        <f t="shared" si="8"/>
        <v>0</v>
      </c>
      <c r="I70" s="85"/>
      <c r="J70" s="85"/>
      <c r="K70" s="86" t="str">
        <f t="shared" si="9"/>
        <v/>
      </c>
      <c r="L70" s="87" t="str">
        <f t="shared" si="10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11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1717.28</v>
      </c>
      <c r="D71" s="81">
        <v>0</v>
      </c>
      <c r="E71" s="82">
        <v>0</v>
      </c>
      <c r="F71" s="82">
        <v>4726.79</v>
      </c>
      <c r="G71" s="82">
        <v>0</v>
      </c>
      <c r="H71" s="91">
        <f t="shared" si="8"/>
        <v>0</v>
      </c>
      <c r="I71" s="85"/>
      <c r="J71" s="85"/>
      <c r="K71" s="86" t="str">
        <f t="shared" si="9"/>
        <v/>
      </c>
      <c r="L71" s="87" t="str">
        <f t="shared" si="10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11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1754.24</v>
      </c>
      <c r="D72" s="81">
        <v>0</v>
      </c>
      <c r="E72" s="82">
        <v>0</v>
      </c>
      <c r="F72" s="82">
        <v>4703.7</v>
      </c>
      <c r="G72" s="82">
        <v>0</v>
      </c>
      <c r="H72" s="91">
        <f t="shared" si="8"/>
        <v>0</v>
      </c>
      <c r="I72" s="85"/>
      <c r="J72" s="85"/>
      <c r="K72" s="86" t="str">
        <f t="shared" si="9"/>
        <v/>
      </c>
      <c r="L72" s="87" t="str">
        <f t="shared" si="10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11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1775.96</v>
      </c>
      <c r="D73" s="81">
        <v>0</v>
      </c>
      <c r="E73" s="82">
        <v>0</v>
      </c>
      <c r="F73" s="82">
        <v>4690.6899999999996</v>
      </c>
      <c r="G73" s="82">
        <v>0</v>
      </c>
      <c r="H73" s="91">
        <f t="shared" si="8"/>
        <v>0</v>
      </c>
      <c r="I73" s="85"/>
      <c r="J73" s="85"/>
      <c r="K73" s="86" t="str">
        <f t="shared" si="9"/>
        <v/>
      </c>
      <c r="L73" s="87" t="str">
        <f t="shared" si="10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11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1722.65</v>
      </c>
      <c r="D74" s="81">
        <v>0</v>
      </c>
      <c r="E74" s="82">
        <v>0</v>
      </c>
      <c r="F74" s="82">
        <v>4853.59</v>
      </c>
      <c r="G74" s="82">
        <v>0</v>
      </c>
      <c r="H74" s="91">
        <f t="shared" si="8"/>
        <v>0</v>
      </c>
      <c r="I74" s="85"/>
      <c r="J74" s="85"/>
      <c r="K74" s="86" t="str">
        <f t="shared" si="9"/>
        <v/>
      </c>
      <c r="L74" s="87" t="str">
        <f t="shared" si="10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11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1635.12</v>
      </c>
      <c r="D75" s="81">
        <v>40.01</v>
      </c>
      <c r="E75" s="82">
        <v>0</v>
      </c>
      <c r="F75" s="82">
        <v>5006.88</v>
      </c>
      <c r="G75" s="82">
        <v>0</v>
      </c>
      <c r="H75" s="91">
        <f t="shared" si="8"/>
        <v>0</v>
      </c>
      <c r="I75" s="85"/>
      <c r="J75" s="85"/>
      <c r="K75" s="86" t="str">
        <f t="shared" si="9"/>
        <v/>
      </c>
      <c r="L75" s="87" t="str">
        <f t="shared" si="10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11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1610.73</v>
      </c>
      <c r="D76" s="81">
        <v>50.16</v>
      </c>
      <c r="E76" s="82">
        <v>0</v>
      </c>
      <c r="F76" s="82">
        <v>6370.05</v>
      </c>
      <c r="G76" s="82">
        <v>0</v>
      </c>
      <c r="H76" s="91">
        <f t="shared" si="8"/>
        <v>0</v>
      </c>
      <c r="I76" s="85"/>
      <c r="J76" s="85"/>
      <c r="K76" s="86" t="str">
        <f t="shared" si="9"/>
        <v/>
      </c>
      <c r="L76" s="87" t="str">
        <f t="shared" si="10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11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1374.21</v>
      </c>
      <c r="D77" s="81">
        <v>85.88</v>
      </c>
      <c r="E77" s="82">
        <v>0</v>
      </c>
      <c r="F77" s="82">
        <v>5742.63</v>
      </c>
      <c r="G77" s="82">
        <v>0</v>
      </c>
      <c r="H77" s="91">
        <f t="shared" si="8"/>
        <v>0</v>
      </c>
      <c r="I77" s="85"/>
      <c r="J77" s="85"/>
      <c r="K77" s="86" t="str">
        <f t="shared" si="9"/>
        <v/>
      </c>
      <c r="L77" s="87" t="str">
        <f t="shared" si="10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11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431.21</v>
      </c>
      <c r="D78" s="81">
        <v>4.4400000000000004</v>
      </c>
      <c r="E78" s="82">
        <v>0</v>
      </c>
      <c r="F78" s="82">
        <v>9372.32</v>
      </c>
      <c r="G78" s="82">
        <v>0</v>
      </c>
      <c r="H78" s="91">
        <f t="shared" si="8"/>
        <v>0</v>
      </c>
      <c r="I78" s="85"/>
      <c r="J78" s="85"/>
      <c r="K78" s="86" t="str">
        <f t="shared" si="9"/>
        <v/>
      </c>
      <c r="L78" s="87" t="str">
        <f t="shared" si="10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1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287.31</v>
      </c>
      <c r="D79" s="81">
        <v>1.98</v>
      </c>
      <c r="E79" s="82">
        <v>0</v>
      </c>
      <c r="F79" s="82">
        <v>9574.6</v>
      </c>
      <c r="G79" s="82">
        <v>0</v>
      </c>
      <c r="H79" s="91">
        <f t="shared" si="8"/>
        <v>0</v>
      </c>
      <c r="I79" s="85"/>
      <c r="J79" s="85"/>
      <c r="K79" s="86" t="str">
        <f t="shared" si="9"/>
        <v/>
      </c>
      <c r="L79" s="87" t="str">
        <f t="shared" si="10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1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209.32</v>
      </c>
      <c r="D80" s="81">
        <v>0.16</v>
      </c>
      <c r="E80" s="82">
        <v>0</v>
      </c>
      <c r="F80" s="82">
        <v>9538.26</v>
      </c>
      <c r="G80" s="82">
        <v>0</v>
      </c>
      <c r="H80" s="91">
        <f t="shared" si="8"/>
        <v>0</v>
      </c>
      <c r="I80" s="85"/>
      <c r="J80" s="85"/>
      <c r="K80" s="86" t="str">
        <f t="shared" si="9"/>
        <v/>
      </c>
      <c r="L80" s="87" t="str">
        <f t="shared" si="10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1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127.63</v>
      </c>
      <c r="D81" s="28">
        <v>0.08</v>
      </c>
      <c r="E81" s="96">
        <v>0</v>
      </c>
      <c r="F81" s="97">
        <v>9567.7099999999991</v>
      </c>
      <c r="G81" s="82">
        <v>0</v>
      </c>
      <c r="H81" s="98">
        <f t="shared" si="8"/>
        <v>0</v>
      </c>
      <c r="I81" s="115"/>
      <c r="J81" s="115"/>
      <c r="K81" s="99" t="str">
        <f t="shared" si="9"/>
        <v/>
      </c>
      <c r="L81" s="87" t="str">
        <f t="shared" si="10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1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2">SUM(B58:B81)</f>
        <v>0</v>
      </c>
      <c r="C82" s="35">
        <f t="shared" si="12"/>
        <v>36538.22</v>
      </c>
      <c r="D82" s="35">
        <f t="shared" si="12"/>
        <v>182.70999999999998</v>
      </c>
      <c r="E82" s="35">
        <f t="shared" si="12"/>
        <v>0</v>
      </c>
      <c r="F82" s="101">
        <f t="shared" si="12"/>
        <v>134300.81000000003</v>
      </c>
      <c r="G82" s="35">
        <f t="shared" si="12"/>
        <v>0</v>
      </c>
      <c r="H82" s="102"/>
      <c r="I82" s="103"/>
      <c r="J82" s="104"/>
      <c r="K82" s="105" t="str">
        <f>IFERROR(AVERAGE(K58:K81),"")</f>
        <v/>
      </c>
      <c r="L82" s="40">
        <f t="shared" ref="L82:U82" si="13">SUM(L58:L81)</f>
        <v>0</v>
      </c>
      <c r="M82" s="40">
        <f t="shared" si="13"/>
        <v>0</v>
      </c>
      <c r="N82" s="39">
        <f t="shared" si="13"/>
        <v>0</v>
      </c>
      <c r="O82" s="39">
        <f t="shared" si="13"/>
        <v>0</v>
      </c>
      <c r="P82" s="39">
        <f t="shared" si="13"/>
        <v>0</v>
      </c>
      <c r="Q82" s="39">
        <f t="shared" si="13"/>
        <v>0</v>
      </c>
      <c r="R82" s="39">
        <f t="shared" si="13"/>
        <v>0</v>
      </c>
      <c r="S82" s="39">
        <f t="shared" si="13"/>
        <v>0</v>
      </c>
      <c r="T82" s="39">
        <f t="shared" si="13"/>
        <v>0</v>
      </c>
      <c r="U82" s="39">
        <f t="shared" si="13"/>
        <v>0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134300.81000000003</v>
      </c>
      <c r="J87" s="41"/>
      <c r="K87" s="62" t="s">
        <v>59</v>
      </c>
      <c r="L87" s="113">
        <v>5113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</v>
      </c>
      <c r="B88" s="57">
        <v>0</v>
      </c>
      <c r="C88" s="57">
        <v>1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5680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 t="str">
        <f>IFERROR(3412.14/K82,"")</f>
        <v/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A1:C1"/>
    <mergeCell ref="D1:U2"/>
    <mergeCell ref="V1:X4"/>
    <mergeCell ref="A2:C2"/>
    <mergeCell ref="A3:C3"/>
    <mergeCell ref="D3:U4"/>
    <mergeCell ref="A4:C4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39:A40"/>
    <mergeCell ref="B39:B40"/>
    <mergeCell ref="C39:C40"/>
    <mergeCell ref="D39:D40"/>
    <mergeCell ref="H39:I40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H41:H42"/>
    <mergeCell ref="I41:I42"/>
    <mergeCell ref="K44:L44"/>
    <mergeCell ref="C45:I46"/>
    <mergeCell ref="K45:L45"/>
    <mergeCell ref="K46:L4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A85:A86"/>
    <mergeCell ref="B85:B86"/>
    <mergeCell ref="C85:C86"/>
    <mergeCell ref="D85:D86"/>
    <mergeCell ref="H85:I86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K90:L90"/>
    <mergeCell ref="B91:B92"/>
    <mergeCell ref="C91:I92"/>
    <mergeCell ref="K91:L91"/>
    <mergeCell ref="K92:L9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E5BE-46AD-41A7-8855-CD8EC0200CFC}">
  <dimension ref="A1:Z109"/>
  <sheetViews>
    <sheetView topLeftCell="A51" zoomScaleNormal="100" workbookViewId="0">
      <selection activeCell="Z90" sqref="Z90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8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86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176250</v>
      </c>
      <c r="C12" s="28">
        <v>0</v>
      </c>
      <c r="D12" s="28">
        <v>18419.940000000002</v>
      </c>
      <c r="E12" s="28">
        <v>78.92</v>
      </c>
      <c r="F12" s="28">
        <v>79.66</v>
      </c>
      <c r="G12" s="28">
        <f t="shared" ref="G12:G35" si="0">+E12+F12</f>
        <v>158.57999999999998</v>
      </c>
      <c r="H12" s="28">
        <v>0</v>
      </c>
      <c r="I12" s="28">
        <v>0</v>
      </c>
      <c r="J12" s="112">
        <v>164</v>
      </c>
      <c r="K12" s="28">
        <f t="shared" ref="K12:K35" si="1">IF(J12=0,0,100*(G12-J12)/J12)</f>
        <v>-3.3048780487804974</v>
      </c>
      <c r="L12" s="28"/>
      <c r="M12" s="28"/>
      <c r="N12" s="28">
        <f t="shared" ref="N12:N35" si="2">IFERROR(V12*1000*2.2*$K$46/G12/1000,"")</f>
        <v>9334.9820658342796</v>
      </c>
      <c r="O12" s="28" t="str">
        <f t="shared" ref="O12:O35" si="3">IF(OR(K12&gt;5,K12&lt;-5),G12-J12,"")</f>
        <v/>
      </c>
      <c r="P12" s="28">
        <v>8.2899999999999991</v>
      </c>
      <c r="Q12" s="28">
        <v>13</v>
      </c>
      <c r="R12" s="28">
        <v>17</v>
      </c>
      <c r="S12" s="28">
        <v>17.510000000000002</v>
      </c>
      <c r="T12" s="28">
        <v>18.5</v>
      </c>
      <c r="U12" s="28">
        <v>7.42</v>
      </c>
      <c r="V12" s="28">
        <f t="shared" ref="V12:V35" si="4">+SUM(P12:U12)</f>
        <v>81.72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176260</v>
      </c>
      <c r="C13" s="28">
        <v>3.56</v>
      </c>
      <c r="D13" s="28">
        <v>13140.26</v>
      </c>
      <c r="E13" s="28">
        <v>78.900000000000006</v>
      </c>
      <c r="F13" s="28">
        <v>79.63</v>
      </c>
      <c r="G13" s="28">
        <f t="shared" si="0"/>
        <v>158.53</v>
      </c>
      <c r="H13" s="28">
        <v>0</v>
      </c>
      <c r="I13" s="28">
        <v>0</v>
      </c>
      <c r="J13" s="112">
        <v>164</v>
      </c>
      <c r="K13" s="28">
        <f t="shared" si="1"/>
        <v>-3.3353658536585358</v>
      </c>
      <c r="L13" s="28"/>
      <c r="M13" s="28"/>
      <c r="N13" s="28">
        <f t="shared" si="2"/>
        <v>9333.3556046174217</v>
      </c>
      <c r="O13" s="28" t="str">
        <f t="shared" si="3"/>
        <v/>
      </c>
      <c r="P13" s="28">
        <v>8.43</v>
      </c>
      <c r="Q13" s="28">
        <v>13</v>
      </c>
      <c r="R13" s="28">
        <v>17</v>
      </c>
      <c r="S13" s="28">
        <v>17.5</v>
      </c>
      <c r="T13" s="28">
        <v>18.5</v>
      </c>
      <c r="U13" s="28">
        <v>7.25</v>
      </c>
      <c r="V13" s="28">
        <f t="shared" si="4"/>
        <v>81.680000000000007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175940</v>
      </c>
      <c r="C14" s="28">
        <v>2.76</v>
      </c>
      <c r="D14" s="28">
        <v>14512.57</v>
      </c>
      <c r="E14" s="28">
        <v>78.790000000000006</v>
      </c>
      <c r="F14" s="28">
        <v>79.5</v>
      </c>
      <c r="G14" s="28">
        <f t="shared" si="0"/>
        <v>158.29000000000002</v>
      </c>
      <c r="H14" s="28">
        <v>0</v>
      </c>
      <c r="I14" s="28">
        <v>0</v>
      </c>
      <c r="J14" s="112">
        <v>164</v>
      </c>
      <c r="K14" s="28">
        <f t="shared" si="1"/>
        <v>-3.4817073170731581</v>
      </c>
      <c r="L14" s="28"/>
      <c r="M14" s="28"/>
      <c r="N14" s="28">
        <f t="shared" si="2"/>
        <v>9393.283113273108</v>
      </c>
      <c r="O14" s="28" t="str">
        <f t="shared" si="3"/>
        <v/>
      </c>
      <c r="P14" s="28">
        <v>8.3699999999999992</v>
      </c>
      <c r="Q14" s="28">
        <v>13.16</v>
      </c>
      <c r="R14" s="28">
        <v>17.399999999999999</v>
      </c>
      <c r="S14" s="28">
        <v>18.13</v>
      </c>
      <c r="T14" s="28">
        <v>18.899999999999999</v>
      </c>
      <c r="U14" s="28">
        <v>6.12</v>
      </c>
      <c r="V14" s="28">
        <f t="shared" si="4"/>
        <v>82.080000000000013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176740</v>
      </c>
      <c r="C15" s="28">
        <v>0</v>
      </c>
      <c r="D15" s="28">
        <v>14267.779999999999</v>
      </c>
      <c r="E15" s="28">
        <v>79.2</v>
      </c>
      <c r="F15" s="28">
        <v>79.92</v>
      </c>
      <c r="G15" s="28">
        <f t="shared" si="0"/>
        <v>159.12</v>
      </c>
      <c r="H15" s="28">
        <v>0</v>
      </c>
      <c r="I15" s="28">
        <v>0</v>
      </c>
      <c r="J15" s="112">
        <v>164</v>
      </c>
      <c r="K15" s="28">
        <f t="shared" si="1"/>
        <v>-2.9756097560975583</v>
      </c>
      <c r="L15" s="28"/>
      <c r="M15" s="28"/>
      <c r="N15" s="28">
        <f t="shared" si="2"/>
        <v>9364.7778280542989</v>
      </c>
      <c r="O15" s="28" t="str">
        <f t="shared" si="3"/>
        <v/>
      </c>
      <c r="P15" s="28">
        <v>8.35</v>
      </c>
      <c r="Q15" s="28">
        <v>13.2</v>
      </c>
      <c r="R15" s="28">
        <v>17.7</v>
      </c>
      <c r="S15" s="28">
        <v>18.7</v>
      </c>
      <c r="T15" s="28">
        <v>19.190000000000001</v>
      </c>
      <c r="U15" s="28">
        <v>5.12</v>
      </c>
      <c r="V15" s="28">
        <f t="shared" si="4"/>
        <v>82.26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175650</v>
      </c>
      <c r="C16" s="28">
        <v>0</v>
      </c>
      <c r="D16" s="28">
        <v>13401.52</v>
      </c>
      <c r="E16" s="28">
        <v>78.7</v>
      </c>
      <c r="F16" s="28">
        <v>79.39</v>
      </c>
      <c r="G16" s="28">
        <f t="shared" si="0"/>
        <v>158.09</v>
      </c>
      <c r="H16" s="28">
        <v>0</v>
      </c>
      <c r="I16" s="28">
        <v>0</v>
      </c>
      <c r="J16" s="112">
        <v>164</v>
      </c>
      <c r="K16" s="28">
        <f t="shared" si="1"/>
        <v>-3.6036585365853639</v>
      </c>
      <c r="L16" s="28"/>
      <c r="M16" s="28"/>
      <c r="N16" s="28">
        <f t="shared" si="2"/>
        <v>9315.7899930419408</v>
      </c>
      <c r="O16" s="28" t="str">
        <f t="shared" si="3"/>
        <v/>
      </c>
      <c r="P16" s="28">
        <v>8.2899999999999991</v>
      </c>
      <c r="Q16" s="28">
        <v>12.96</v>
      </c>
      <c r="R16" s="28">
        <v>17.46</v>
      </c>
      <c r="S16" s="28">
        <v>18.47</v>
      </c>
      <c r="T16" s="28">
        <v>18.97</v>
      </c>
      <c r="U16" s="28">
        <v>5.15</v>
      </c>
      <c r="V16" s="28">
        <f t="shared" si="4"/>
        <v>81.300000000000011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171240</v>
      </c>
      <c r="C17" s="28">
        <v>0</v>
      </c>
      <c r="D17" s="28">
        <v>10141.49</v>
      </c>
      <c r="E17" s="28">
        <v>76.61</v>
      </c>
      <c r="F17" s="28">
        <v>77.3</v>
      </c>
      <c r="G17" s="28">
        <f t="shared" si="0"/>
        <v>153.91</v>
      </c>
      <c r="H17" s="28">
        <v>0</v>
      </c>
      <c r="I17" s="28">
        <v>0</v>
      </c>
      <c r="J17" s="112">
        <v>159.87</v>
      </c>
      <c r="K17" s="28">
        <f t="shared" si="1"/>
        <v>-3.7280290235816649</v>
      </c>
      <c r="L17" s="28"/>
      <c r="M17" s="28"/>
      <c r="N17" s="28">
        <f t="shared" si="2"/>
        <v>9254.5430706256939</v>
      </c>
      <c r="O17" s="28" t="str">
        <f t="shared" si="3"/>
        <v/>
      </c>
      <c r="P17" s="28">
        <v>8.19</v>
      </c>
      <c r="Q17" s="28">
        <v>12.31</v>
      </c>
      <c r="R17" s="28">
        <v>16.82</v>
      </c>
      <c r="S17" s="28">
        <v>17.82</v>
      </c>
      <c r="T17" s="28">
        <v>18.32</v>
      </c>
      <c r="U17" s="28">
        <v>5.17</v>
      </c>
      <c r="V17" s="28">
        <f t="shared" si="4"/>
        <v>78.63000000000001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151080</v>
      </c>
      <c r="C18" s="28">
        <v>1.95</v>
      </c>
      <c r="D18" s="28">
        <v>12754.810000000001</v>
      </c>
      <c r="E18" s="28">
        <v>67.25</v>
      </c>
      <c r="F18" s="28">
        <v>67.849999999999994</v>
      </c>
      <c r="G18" s="28">
        <f t="shared" si="0"/>
        <v>135.1</v>
      </c>
      <c r="H18" s="28">
        <v>0</v>
      </c>
      <c r="I18" s="28">
        <v>0</v>
      </c>
      <c r="J18" s="112">
        <v>135.87</v>
      </c>
      <c r="K18" s="28">
        <f t="shared" si="1"/>
        <v>-0.56671818650181072</v>
      </c>
      <c r="L18" s="28"/>
      <c r="M18" s="28"/>
      <c r="N18" s="28">
        <f t="shared" si="2"/>
        <v>9357.749015544041</v>
      </c>
      <c r="O18" s="28" t="str">
        <f t="shared" si="3"/>
        <v/>
      </c>
      <c r="P18" s="28">
        <v>8.1199999999999992</v>
      </c>
      <c r="Q18" s="28">
        <v>10.08</v>
      </c>
      <c r="R18" s="28">
        <v>14.57</v>
      </c>
      <c r="S18" s="28">
        <v>15.58</v>
      </c>
      <c r="T18" s="28">
        <v>16.07</v>
      </c>
      <c r="U18" s="28">
        <v>5.37</v>
      </c>
      <c r="V18" s="28">
        <f t="shared" si="4"/>
        <v>69.789999999999992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120850</v>
      </c>
      <c r="C19" s="28">
        <v>85.59</v>
      </c>
      <c r="D19" s="28">
        <v>3483.41</v>
      </c>
      <c r="E19" s="28">
        <v>52.74</v>
      </c>
      <c r="F19" s="28">
        <v>53.25</v>
      </c>
      <c r="G19" s="28">
        <f t="shared" si="0"/>
        <v>105.99000000000001</v>
      </c>
      <c r="H19" s="28">
        <v>0</v>
      </c>
      <c r="I19" s="28">
        <v>0</v>
      </c>
      <c r="J19" s="112">
        <v>105.87</v>
      </c>
      <c r="K19" s="28">
        <f t="shared" si="1"/>
        <v>0.11334655709833243</v>
      </c>
      <c r="L19" s="28"/>
      <c r="M19" s="28"/>
      <c r="N19" s="28">
        <f t="shared" si="2"/>
        <v>9772.6602887064819</v>
      </c>
      <c r="O19" s="28" t="str">
        <f t="shared" si="3"/>
        <v/>
      </c>
      <c r="P19" s="28">
        <v>8.07</v>
      </c>
      <c r="Q19" s="28">
        <v>9.06</v>
      </c>
      <c r="R19" s="28">
        <v>10.56</v>
      </c>
      <c r="S19" s="28">
        <v>11.54</v>
      </c>
      <c r="T19" s="28">
        <v>11.66</v>
      </c>
      <c r="U19" s="28">
        <v>6.29</v>
      </c>
      <c r="V19" s="28">
        <f t="shared" si="4"/>
        <v>57.18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107630</v>
      </c>
      <c r="C20" s="28">
        <v>2289.98</v>
      </c>
      <c r="D20" s="28">
        <v>1963.1799999999998</v>
      </c>
      <c r="E20" s="28">
        <v>46.24</v>
      </c>
      <c r="F20" s="28">
        <v>46.68</v>
      </c>
      <c r="G20" s="28">
        <f t="shared" si="0"/>
        <v>92.92</v>
      </c>
      <c r="H20" s="28">
        <v>0</v>
      </c>
      <c r="I20" s="28">
        <v>0</v>
      </c>
      <c r="J20" s="112">
        <v>90</v>
      </c>
      <c r="K20" s="28">
        <f t="shared" si="1"/>
        <v>3.2444444444444462</v>
      </c>
      <c r="L20" s="28"/>
      <c r="M20" s="28"/>
      <c r="N20" s="28">
        <f t="shared" si="2"/>
        <v>10486.387128712871</v>
      </c>
      <c r="O20" s="28" t="str">
        <f t="shared" si="3"/>
        <v/>
      </c>
      <c r="P20" s="28">
        <v>8.08</v>
      </c>
      <c r="Q20" s="28">
        <v>9.26</v>
      </c>
      <c r="R20" s="28">
        <v>9.26</v>
      </c>
      <c r="S20" s="28">
        <v>9.99</v>
      </c>
      <c r="T20" s="28">
        <v>10.02</v>
      </c>
      <c r="U20" s="28">
        <v>7.18</v>
      </c>
      <c r="V20" s="28">
        <f t="shared" si="4"/>
        <v>53.79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170000</v>
      </c>
      <c r="C21" s="28">
        <v>4782.16</v>
      </c>
      <c r="D21" s="28">
        <v>667.87</v>
      </c>
      <c r="E21" s="28">
        <v>46.11</v>
      </c>
      <c r="F21" s="28">
        <v>46.53</v>
      </c>
      <c r="G21" s="28">
        <f t="shared" si="0"/>
        <v>92.64</v>
      </c>
      <c r="H21" s="28">
        <v>0</v>
      </c>
      <c r="I21" s="28">
        <v>0</v>
      </c>
      <c r="J21" s="112">
        <v>90</v>
      </c>
      <c r="K21" s="28">
        <f t="shared" si="1"/>
        <v>2.933333333333334</v>
      </c>
      <c r="L21" s="28"/>
      <c r="M21" s="28"/>
      <c r="N21" s="28">
        <f t="shared" si="2"/>
        <v>10531.769516407599</v>
      </c>
      <c r="O21" s="28" t="str">
        <f t="shared" si="3"/>
        <v/>
      </c>
      <c r="P21" s="28">
        <v>8.16</v>
      </c>
      <c r="Q21" s="28">
        <v>9.34</v>
      </c>
      <c r="R21" s="28">
        <v>9.32</v>
      </c>
      <c r="S21" s="28">
        <v>9.7899999999999991</v>
      </c>
      <c r="T21" s="28">
        <v>9.77</v>
      </c>
      <c r="U21" s="28">
        <v>7.48</v>
      </c>
      <c r="V21" s="28">
        <f t="shared" si="4"/>
        <v>53.86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107070</v>
      </c>
      <c r="C22" s="28">
        <v>2824.54</v>
      </c>
      <c r="D22" s="28">
        <v>53.680000000000007</v>
      </c>
      <c r="E22" s="28">
        <v>46.23</v>
      </c>
      <c r="F22" s="28">
        <v>46.65</v>
      </c>
      <c r="G22" s="28">
        <f t="shared" si="0"/>
        <v>92.88</v>
      </c>
      <c r="H22" s="28">
        <v>0</v>
      </c>
      <c r="I22" s="28">
        <v>0</v>
      </c>
      <c r="J22" s="112">
        <v>90</v>
      </c>
      <c r="K22" s="28">
        <f t="shared" si="1"/>
        <v>3.1999999999999948</v>
      </c>
      <c r="L22" s="28"/>
      <c r="M22" s="28"/>
      <c r="N22" s="28">
        <f t="shared" si="2"/>
        <v>10481.151507321276</v>
      </c>
      <c r="O22" s="28" t="str">
        <f t="shared" si="3"/>
        <v/>
      </c>
      <c r="P22" s="28">
        <v>8.2899999999999991</v>
      </c>
      <c r="Q22" s="28">
        <v>9.5</v>
      </c>
      <c r="R22" s="28">
        <v>9.5</v>
      </c>
      <c r="S22" s="28">
        <v>9.5299999999999994</v>
      </c>
      <c r="T22" s="28">
        <v>9.5</v>
      </c>
      <c r="U22" s="28">
        <v>7.42</v>
      </c>
      <c r="V22" s="28">
        <f t="shared" si="4"/>
        <v>53.74</v>
      </c>
      <c r="W22" s="28">
        <f>7.3/3</f>
        <v>2.4333333333333331</v>
      </c>
      <c r="X22" s="28">
        <v>0</v>
      </c>
    </row>
    <row r="23" spans="1:26" ht="16.5" x14ac:dyDescent="0.3">
      <c r="A23" s="30">
        <v>12</v>
      </c>
      <c r="B23" s="28">
        <v>107090</v>
      </c>
      <c r="C23" s="28">
        <v>6118.76</v>
      </c>
      <c r="D23" s="28">
        <v>16.32</v>
      </c>
      <c r="E23" s="28">
        <v>46.18</v>
      </c>
      <c r="F23" s="28">
        <v>46.59</v>
      </c>
      <c r="G23" s="28">
        <f t="shared" si="0"/>
        <v>92.77000000000001</v>
      </c>
      <c r="H23" s="28">
        <v>0</v>
      </c>
      <c r="I23" s="28">
        <v>0</v>
      </c>
      <c r="J23" s="112">
        <v>90</v>
      </c>
      <c r="K23" s="28">
        <f t="shared" si="1"/>
        <v>3.077777777777789</v>
      </c>
      <c r="L23" s="28"/>
      <c r="M23" s="28"/>
      <c r="N23" s="28">
        <f t="shared" si="2"/>
        <v>10520.916503179908</v>
      </c>
      <c r="O23" s="28" t="str">
        <f t="shared" si="3"/>
        <v/>
      </c>
      <c r="P23" s="28">
        <v>8.41</v>
      </c>
      <c r="Q23" s="28">
        <v>9.51</v>
      </c>
      <c r="R23" s="28">
        <v>9.5</v>
      </c>
      <c r="S23" s="28">
        <v>9.48</v>
      </c>
      <c r="T23" s="28">
        <v>9.51</v>
      </c>
      <c r="U23" s="28">
        <v>7.47</v>
      </c>
      <c r="V23" s="28">
        <f t="shared" si="4"/>
        <v>53.88</v>
      </c>
      <c r="W23" s="28">
        <f t="shared" ref="W23:W24" si="5">7.3/3</f>
        <v>2.4333333333333331</v>
      </c>
      <c r="X23" s="28">
        <v>0</v>
      </c>
    </row>
    <row r="24" spans="1:26" ht="16.5" x14ac:dyDescent="0.3">
      <c r="A24" s="30">
        <v>13</v>
      </c>
      <c r="B24" s="28">
        <v>107150</v>
      </c>
      <c r="C24" s="28">
        <v>3272.5</v>
      </c>
      <c r="D24" s="28">
        <v>323.06</v>
      </c>
      <c r="E24" s="28">
        <v>46.13</v>
      </c>
      <c r="F24" s="28">
        <v>46.53</v>
      </c>
      <c r="G24" s="28">
        <f t="shared" si="0"/>
        <v>92.66</v>
      </c>
      <c r="H24" s="28">
        <v>0</v>
      </c>
      <c r="I24" s="28">
        <v>0</v>
      </c>
      <c r="J24" s="112">
        <v>90</v>
      </c>
      <c r="K24" s="28">
        <f t="shared" si="1"/>
        <v>2.9555555555555517</v>
      </c>
      <c r="L24" s="28"/>
      <c r="M24" s="28"/>
      <c r="N24" s="28">
        <f t="shared" si="2"/>
        <v>10601.83039067559</v>
      </c>
      <c r="O24" s="28" t="str">
        <f t="shared" si="3"/>
        <v/>
      </c>
      <c r="P24" s="28">
        <v>8.4</v>
      </c>
      <c r="Q24" s="28">
        <v>9.6</v>
      </c>
      <c r="R24" s="28">
        <v>9.58</v>
      </c>
      <c r="S24" s="28">
        <v>9.61</v>
      </c>
      <c r="T24" s="28">
        <v>9.6</v>
      </c>
      <c r="U24" s="28">
        <v>7.44</v>
      </c>
      <c r="V24" s="28">
        <f t="shared" si="4"/>
        <v>54.23</v>
      </c>
      <c r="W24" s="28">
        <f t="shared" si="5"/>
        <v>2.4333333333333331</v>
      </c>
      <c r="X24" s="28">
        <v>0</v>
      </c>
    </row>
    <row r="25" spans="1:26" ht="16.5" x14ac:dyDescent="0.3">
      <c r="A25" s="30">
        <v>14</v>
      </c>
      <c r="B25" s="28">
        <v>107080</v>
      </c>
      <c r="C25" s="28">
        <v>9934.2799999999988</v>
      </c>
      <c r="D25" s="28">
        <v>0</v>
      </c>
      <c r="E25" s="28">
        <v>46.17</v>
      </c>
      <c r="F25" s="28">
        <v>46.59</v>
      </c>
      <c r="G25" s="28">
        <f t="shared" si="0"/>
        <v>92.76</v>
      </c>
      <c r="H25" s="28">
        <v>0</v>
      </c>
      <c r="I25" s="28">
        <v>0</v>
      </c>
      <c r="J25" s="112">
        <v>90</v>
      </c>
      <c r="K25" s="28">
        <f t="shared" si="1"/>
        <v>3.0666666666666722</v>
      </c>
      <c r="L25" s="28"/>
      <c r="M25" s="28"/>
      <c r="N25" s="28">
        <f t="shared" si="2"/>
        <v>10481.040491591202</v>
      </c>
      <c r="O25" s="28" t="str">
        <f t="shared" si="3"/>
        <v/>
      </c>
      <c r="P25" s="28">
        <v>8.5</v>
      </c>
      <c r="Q25" s="28">
        <v>9.44</v>
      </c>
      <c r="R25" s="28">
        <v>9.43</v>
      </c>
      <c r="S25" s="28">
        <v>9.43</v>
      </c>
      <c r="T25" s="28">
        <v>9.44</v>
      </c>
      <c r="U25" s="28">
        <v>7.43</v>
      </c>
      <c r="V25" s="28">
        <f t="shared" si="4"/>
        <v>53.669999999999995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106470</v>
      </c>
      <c r="C26" s="28">
        <v>10456.310000000001</v>
      </c>
      <c r="D26" s="28">
        <v>0</v>
      </c>
      <c r="E26" s="28">
        <v>45.99</v>
      </c>
      <c r="F26" s="28">
        <v>46.4</v>
      </c>
      <c r="G26" s="28">
        <f t="shared" si="0"/>
        <v>92.39</v>
      </c>
      <c r="H26" s="28">
        <v>0</v>
      </c>
      <c r="I26" s="28">
        <v>0</v>
      </c>
      <c r="J26" s="112">
        <v>90</v>
      </c>
      <c r="K26" s="28">
        <f t="shared" si="1"/>
        <v>2.6555555555555563</v>
      </c>
      <c r="L26" s="28"/>
      <c r="M26" s="28"/>
      <c r="N26" s="28">
        <f t="shared" si="2"/>
        <v>10434.783591297761</v>
      </c>
      <c r="O26" s="28" t="str">
        <f t="shared" si="3"/>
        <v/>
      </c>
      <c r="P26" s="28">
        <v>8.58</v>
      </c>
      <c r="Q26" s="28">
        <v>9.31</v>
      </c>
      <c r="R26" s="28">
        <v>9.3000000000000007</v>
      </c>
      <c r="S26" s="28">
        <v>9.34</v>
      </c>
      <c r="T26" s="28">
        <v>9.32</v>
      </c>
      <c r="U26" s="28">
        <v>7.37</v>
      </c>
      <c r="V26" s="28">
        <f t="shared" si="4"/>
        <v>53.22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124240</v>
      </c>
      <c r="C27" s="28">
        <v>8139.41</v>
      </c>
      <c r="D27" s="28">
        <v>0</v>
      </c>
      <c r="E27" s="28">
        <v>53.99</v>
      </c>
      <c r="F27" s="28">
        <v>54.44</v>
      </c>
      <c r="G27" s="28">
        <f t="shared" si="0"/>
        <v>108.43</v>
      </c>
      <c r="H27" s="28">
        <v>0</v>
      </c>
      <c r="I27" s="28">
        <v>0</v>
      </c>
      <c r="J27" s="112">
        <v>90</v>
      </c>
      <c r="K27" s="28">
        <f t="shared" si="1"/>
        <v>20.477777777777785</v>
      </c>
      <c r="L27" s="28" t="s">
        <v>87</v>
      </c>
      <c r="M27" s="28" t="s">
        <v>90</v>
      </c>
      <c r="N27" s="28">
        <f t="shared" si="2"/>
        <v>10413.128137969195</v>
      </c>
      <c r="O27" s="28">
        <f t="shared" si="3"/>
        <v>18.430000000000007</v>
      </c>
      <c r="P27" s="28">
        <v>8.61</v>
      </c>
      <c r="Q27" s="28">
        <v>11.44</v>
      </c>
      <c r="R27" s="28">
        <v>11.44</v>
      </c>
      <c r="S27" s="28">
        <v>11.45</v>
      </c>
      <c r="T27" s="28">
        <v>11.44</v>
      </c>
      <c r="U27" s="28">
        <v>7.95</v>
      </c>
      <c r="V27" s="28">
        <f t="shared" si="4"/>
        <v>62.33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171400</v>
      </c>
      <c r="C28" s="28">
        <v>1765.85</v>
      </c>
      <c r="D28" s="28">
        <v>601.34</v>
      </c>
      <c r="E28" s="28">
        <v>76.3</v>
      </c>
      <c r="F28" s="28">
        <v>76.92</v>
      </c>
      <c r="G28" s="28">
        <f t="shared" si="0"/>
        <v>153.22</v>
      </c>
      <c r="H28" s="28">
        <v>0</v>
      </c>
      <c r="I28" s="28">
        <v>0</v>
      </c>
      <c r="J28" s="112">
        <v>109</v>
      </c>
      <c r="K28" s="28">
        <f t="shared" si="1"/>
        <v>40.568807339449542</v>
      </c>
      <c r="L28" s="28" t="s">
        <v>87</v>
      </c>
      <c r="M28" s="28" t="s">
        <v>90</v>
      </c>
      <c r="N28" s="28">
        <f t="shared" si="2"/>
        <v>9544.4968280903267</v>
      </c>
      <c r="O28" s="28">
        <f t="shared" si="3"/>
        <v>44.22</v>
      </c>
      <c r="P28" s="28">
        <v>9.0299999999999994</v>
      </c>
      <c r="Q28" s="28">
        <v>15.09</v>
      </c>
      <c r="R28" s="28">
        <v>15.64</v>
      </c>
      <c r="S28" s="28">
        <v>16.2</v>
      </c>
      <c r="T28" s="28">
        <v>16.29</v>
      </c>
      <c r="U28" s="28">
        <v>8.48</v>
      </c>
      <c r="V28" s="28">
        <f t="shared" si="4"/>
        <v>80.73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178110</v>
      </c>
      <c r="C29" s="28">
        <v>84.34</v>
      </c>
      <c r="D29" s="28">
        <v>7545.29</v>
      </c>
      <c r="E29" s="28">
        <v>79.59</v>
      </c>
      <c r="F29" s="28">
        <v>80.239999999999995</v>
      </c>
      <c r="G29" s="28">
        <f t="shared" si="0"/>
        <v>159.82999999999998</v>
      </c>
      <c r="H29" s="28">
        <v>0</v>
      </c>
      <c r="I29" s="28">
        <v>0</v>
      </c>
      <c r="J29" s="112">
        <v>134</v>
      </c>
      <c r="K29" s="28">
        <f t="shared" si="1"/>
        <v>19.27611940298506</v>
      </c>
      <c r="L29" s="28" t="s">
        <v>87</v>
      </c>
      <c r="M29" s="28" t="s">
        <v>90</v>
      </c>
      <c r="N29" s="28">
        <f t="shared" si="2"/>
        <v>9229.1069511355836</v>
      </c>
      <c r="O29" s="28">
        <f t="shared" si="3"/>
        <v>25.829999999999984</v>
      </c>
      <c r="P29" s="28">
        <v>8.9499999999999993</v>
      </c>
      <c r="Q29" s="28">
        <v>14.72</v>
      </c>
      <c r="R29" s="28">
        <v>15.71</v>
      </c>
      <c r="S29" s="28">
        <v>16.71</v>
      </c>
      <c r="T29" s="28">
        <v>16.71</v>
      </c>
      <c r="U29" s="28">
        <v>8.6300000000000008</v>
      </c>
      <c r="V29" s="28">
        <f t="shared" si="4"/>
        <v>81.430000000000007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177550</v>
      </c>
      <c r="C30" s="28">
        <v>10.210000000000001</v>
      </c>
      <c r="D30" s="28">
        <v>4563.42</v>
      </c>
      <c r="E30" s="28">
        <v>79.39</v>
      </c>
      <c r="F30" s="28">
        <v>80.05</v>
      </c>
      <c r="G30" s="28">
        <f t="shared" si="0"/>
        <v>159.44</v>
      </c>
      <c r="H30" s="28">
        <v>0</v>
      </c>
      <c r="I30" s="28">
        <v>0</v>
      </c>
      <c r="J30" s="112">
        <v>164</v>
      </c>
      <c r="K30" s="28">
        <f t="shared" si="1"/>
        <v>-2.7804878048780504</v>
      </c>
      <c r="L30" s="28"/>
      <c r="M30" s="28"/>
      <c r="N30" s="28">
        <f t="shared" si="2"/>
        <v>9171.015153035627</v>
      </c>
      <c r="O30" s="28" t="str">
        <f t="shared" si="3"/>
        <v/>
      </c>
      <c r="P30" s="28">
        <v>8.99</v>
      </c>
      <c r="Q30" s="28">
        <v>14.51</v>
      </c>
      <c r="R30" s="28">
        <v>15.5</v>
      </c>
      <c r="S30" s="28">
        <v>16.510000000000002</v>
      </c>
      <c r="T30" s="28">
        <v>16.510000000000002</v>
      </c>
      <c r="U30" s="28">
        <v>8.6999999999999993</v>
      </c>
      <c r="V30" s="28">
        <f t="shared" si="4"/>
        <v>80.720000000000013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176300</v>
      </c>
      <c r="C31" s="28">
        <v>20.85</v>
      </c>
      <c r="D31" s="28">
        <v>2987.52</v>
      </c>
      <c r="E31" s="28">
        <v>78.739999999999995</v>
      </c>
      <c r="F31" s="28">
        <v>79.39</v>
      </c>
      <c r="G31" s="28">
        <f t="shared" si="0"/>
        <v>158.13</v>
      </c>
      <c r="H31" s="28">
        <v>0</v>
      </c>
      <c r="I31" s="28">
        <v>0</v>
      </c>
      <c r="J31" s="112">
        <v>164</v>
      </c>
      <c r="K31" s="28">
        <f t="shared" si="1"/>
        <v>-3.5792682926829298</v>
      </c>
      <c r="L31" s="28"/>
      <c r="M31" s="28"/>
      <c r="N31" s="28">
        <f t="shared" si="2"/>
        <v>9222.9339657244054</v>
      </c>
      <c r="O31" s="28" t="str">
        <f t="shared" si="3"/>
        <v/>
      </c>
      <c r="P31" s="28">
        <v>8.81</v>
      </c>
      <c r="Q31" s="28">
        <v>14.57</v>
      </c>
      <c r="R31" s="28">
        <v>15.55</v>
      </c>
      <c r="S31" s="28">
        <v>16.559999999999999</v>
      </c>
      <c r="T31" s="28">
        <v>16.55</v>
      </c>
      <c r="U31" s="28">
        <v>8.4700000000000006</v>
      </c>
      <c r="V31" s="28">
        <f t="shared" si="4"/>
        <v>80.510000000000005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176820</v>
      </c>
      <c r="C32" s="28">
        <v>173.60000000000002</v>
      </c>
      <c r="D32" s="28">
        <v>2368.1799999999998</v>
      </c>
      <c r="E32" s="28">
        <v>78.88</v>
      </c>
      <c r="F32" s="28">
        <v>79.540000000000006</v>
      </c>
      <c r="G32" s="28">
        <f t="shared" si="0"/>
        <v>158.42000000000002</v>
      </c>
      <c r="H32" s="28">
        <v>0</v>
      </c>
      <c r="I32" s="28">
        <v>0</v>
      </c>
      <c r="J32" s="112">
        <v>140</v>
      </c>
      <c r="K32" s="28">
        <f t="shared" si="1"/>
        <v>13.157142857142869</v>
      </c>
      <c r="L32" s="28" t="s">
        <v>87</v>
      </c>
      <c r="M32" s="28" t="s">
        <v>90</v>
      </c>
      <c r="N32" s="28">
        <f t="shared" si="2"/>
        <v>9256.363211715694</v>
      </c>
      <c r="O32" s="28">
        <f t="shared" si="3"/>
        <v>18.420000000000016</v>
      </c>
      <c r="P32" s="28">
        <v>8.9</v>
      </c>
      <c r="Q32" s="28">
        <v>14.67</v>
      </c>
      <c r="R32" s="28">
        <v>15.67</v>
      </c>
      <c r="S32" s="28">
        <v>16.670000000000002</v>
      </c>
      <c r="T32" s="28">
        <v>16.670000000000002</v>
      </c>
      <c r="U32" s="28">
        <v>8.3699999999999992</v>
      </c>
      <c r="V32" s="28">
        <f t="shared" si="4"/>
        <v>80.950000000000017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177190</v>
      </c>
      <c r="C33" s="28">
        <v>285.52999999999997</v>
      </c>
      <c r="D33" s="28">
        <v>1862.2</v>
      </c>
      <c r="E33" s="28">
        <v>79.02</v>
      </c>
      <c r="F33" s="28">
        <v>79.680000000000007</v>
      </c>
      <c r="G33" s="28">
        <f t="shared" si="0"/>
        <v>158.69999999999999</v>
      </c>
      <c r="H33" s="28">
        <v>0</v>
      </c>
      <c r="I33" s="28">
        <v>0</v>
      </c>
      <c r="J33" s="112">
        <v>110</v>
      </c>
      <c r="K33" s="28">
        <f t="shared" si="1"/>
        <v>44.272727272727266</v>
      </c>
      <c r="L33" s="28" t="s">
        <v>87</v>
      </c>
      <c r="M33" s="28" t="s">
        <v>90</v>
      </c>
      <c r="N33" s="28">
        <f t="shared" si="2"/>
        <v>9293.68</v>
      </c>
      <c r="O33" s="28">
        <f t="shared" si="3"/>
        <v>48.699999999999989</v>
      </c>
      <c r="P33" s="28">
        <v>8.8800000000000008</v>
      </c>
      <c r="Q33" s="28">
        <v>14.79</v>
      </c>
      <c r="R33" s="28">
        <v>15.81</v>
      </c>
      <c r="S33" s="28">
        <v>16.809999999999999</v>
      </c>
      <c r="T33" s="28">
        <v>16.8</v>
      </c>
      <c r="U33" s="28">
        <v>8.33</v>
      </c>
      <c r="V33" s="28">
        <f t="shared" si="4"/>
        <v>81.42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176010</v>
      </c>
      <c r="C34" s="28">
        <v>225.88</v>
      </c>
      <c r="D34" s="28">
        <v>1924.71</v>
      </c>
      <c r="E34" s="28">
        <v>78.41</v>
      </c>
      <c r="F34" s="28">
        <v>79.06</v>
      </c>
      <c r="G34" s="28">
        <f t="shared" si="0"/>
        <v>157.47</v>
      </c>
      <c r="H34" s="28">
        <v>0</v>
      </c>
      <c r="I34" s="28">
        <v>0</v>
      </c>
      <c r="J34" s="112">
        <v>125</v>
      </c>
      <c r="K34" s="28">
        <f t="shared" si="1"/>
        <v>25.975999999999999</v>
      </c>
      <c r="L34" s="28" t="s">
        <v>87</v>
      </c>
      <c r="M34" s="28" t="s">
        <v>90</v>
      </c>
      <c r="N34" s="28">
        <f t="shared" si="2"/>
        <v>9441.0467771639087</v>
      </c>
      <c r="O34" s="28">
        <f t="shared" si="3"/>
        <v>32.47</v>
      </c>
      <c r="P34" s="28">
        <v>8.7200000000000006</v>
      </c>
      <c r="Q34" s="28">
        <v>15.04</v>
      </c>
      <c r="R34" s="28">
        <v>16.04</v>
      </c>
      <c r="S34" s="28">
        <v>17.059999999999999</v>
      </c>
      <c r="T34" s="28">
        <v>17.04</v>
      </c>
      <c r="U34" s="28">
        <v>8.17</v>
      </c>
      <c r="V34" s="28">
        <f t="shared" si="4"/>
        <v>82.070000000000007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173190</v>
      </c>
      <c r="C35" s="28">
        <v>31.700000000000003</v>
      </c>
      <c r="D35" s="28">
        <v>3087.55</v>
      </c>
      <c r="E35" s="28">
        <v>77.14</v>
      </c>
      <c r="F35" s="28">
        <v>77.78</v>
      </c>
      <c r="G35" s="28">
        <f t="shared" si="0"/>
        <v>154.92000000000002</v>
      </c>
      <c r="H35" s="28">
        <v>0</v>
      </c>
      <c r="I35" s="28">
        <v>0</v>
      </c>
      <c r="J35" s="112">
        <v>121.74</v>
      </c>
      <c r="K35" s="116">
        <f t="shared" si="1"/>
        <v>27.254805322819141</v>
      </c>
      <c r="L35" s="28" t="s">
        <v>87</v>
      </c>
      <c r="M35" s="28" t="s">
        <v>90</v>
      </c>
      <c r="N35" s="28">
        <f t="shared" si="2"/>
        <v>9492.37970565453</v>
      </c>
      <c r="O35" s="28">
        <f t="shared" si="3"/>
        <v>33.180000000000021</v>
      </c>
      <c r="P35" s="28">
        <v>8.69</v>
      </c>
      <c r="Q35" s="28">
        <v>14.88</v>
      </c>
      <c r="R35" s="28">
        <v>15.86</v>
      </c>
      <c r="S35" s="28">
        <v>16.87</v>
      </c>
      <c r="T35" s="28">
        <v>16.87</v>
      </c>
      <c r="U35" s="28">
        <v>8.01</v>
      </c>
      <c r="V35" s="28">
        <f t="shared" si="4"/>
        <v>81.180000000000007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3667310</v>
      </c>
      <c r="C36" s="35">
        <f t="shared" ref="C36:J36" si="6">SUM(C12:C35)</f>
        <v>50509.759999999987</v>
      </c>
      <c r="D36" s="35">
        <f t="shared" si="6"/>
        <v>128086.09999999999</v>
      </c>
      <c r="E36" s="35">
        <f t="shared" si="6"/>
        <v>1595.6200000000003</v>
      </c>
      <c r="F36" s="35">
        <f t="shared" si="6"/>
        <v>1609.57</v>
      </c>
      <c r="G36" s="35">
        <f t="shared" si="6"/>
        <v>3205.19</v>
      </c>
      <c r="H36" s="35">
        <f t="shared" si="6"/>
        <v>0</v>
      </c>
      <c r="I36" s="35">
        <f t="shared" si="6"/>
        <v>0</v>
      </c>
      <c r="J36" s="35">
        <f t="shared" si="6"/>
        <v>3009.35</v>
      </c>
      <c r="K36" s="36"/>
      <c r="L36" s="37"/>
      <c r="M36" s="38"/>
      <c r="N36" s="35">
        <f>IFERROR(AVERAGE(N12:N35),"")</f>
        <v>9738.715451640528</v>
      </c>
      <c r="O36" s="39">
        <f t="shared" ref="O36:U36" si="7">SUM(O12:O35)</f>
        <v>221.25</v>
      </c>
      <c r="P36" s="39">
        <f t="shared" si="7"/>
        <v>204.10999999999999</v>
      </c>
      <c r="Q36" s="39">
        <f t="shared" si="7"/>
        <v>292.44</v>
      </c>
      <c r="R36" s="39">
        <f t="shared" si="7"/>
        <v>331.62000000000006</v>
      </c>
      <c r="S36" s="39">
        <f t="shared" si="7"/>
        <v>347.26</v>
      </c>
      <c r="T36" s="39">
        <f t="shared" si="7"/>
        <v>352.15000000000003</v>
      </c>
      <c r="U36" s="39">
        <f t="shared" si="7"/>
        <v>174.79</v>
      </c>
      <c r="V36" s="39">
        <f>SUM(V12:V35)</f>
        <v>1702.3700000000001</v>
      </c>
      <c r="W36" s="40">
        <f>SUM(W12:W35)</f>
        <v>7.2999999999999989</v>
      </c>
      <c r="X36" s="40">
        <f>SUM(X12:X35)</f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0</v>
      </c>
      <c r="J41" s="41"/>
      <c r="K41" s="13" t="s">
        <v>59</v>
      </c>
      <c r="L41" s="113">
        <v>393313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1</v>
      </c>
      <c r="B42" s="57">
        <v>0</v>
      </c>
      <c r="C42" s="57">
        <v>0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169938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>
        <f>IFERROR(3412.14/N36,"")</f>
        <v>0.35036858987652325</v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8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Omar E. Fedullo Rueda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218.5</v>
      </c>
      <c r="D58" s="81">
        <v>0</v>
      </c>
      <c r="E58" s="82">
        <v>0</v>
      </c>
      <c r="F58" s="83">
        <v>9338.61</v>
      </c>
      <c r="G58" s="82">
        <v>0</v>
      </c>
      <c r="H58" s="84">
        <f t="shared" ref="H58:H81" si="8">IF(G58=0,0,100*(E58-G58)/G58)</f>
        <v>0</v>
      </c>
      <c r="I58" s="85"/>
      <c r="J58" s="85"/>
      <c r="K58" s="86" t="str">
        <f t="shared" ref="K58:K81" si="9">IFERROR(U58*1000*2.2*$K$92/E58/1000,"")</f>
        <v/>
      </c>
      <c r="L58" s="87" t="str">
        <f t="shared" ref="L58:L81" si="10">IF(OR(H58&gt;5,H58&lt;-5),E58-G58,"")</f>
        <v/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149.99</v>
      </c>
      <c r="D59" s="81">
        <v>328.16</v>
      </c>
      <c r="E59" s="82">
        <v>0</v>
      </c>
      <c r="F59" s="82">
        <v>10539.31</v>
      </c>
      <c r="G59" s="82">
        <v>0</v>
      </c>
      <c r="H59" s="91">
        <f t="shared" si="8"/>
        <v>0</v>
      </c>
      <c r="I59" s="85"/>
      <c r="J59" s="85"/>
      <c r="K59" s="86" t="str">
        <f t="shared" si="9"/>
        <v/>
      </c>
      <c r="L59" s="87" t="str">
        <f t="shared" si="10"/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11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0</v>
      </c>
      <c r="D60" s="81">
        <v>1033.9100000000001</v>
      </c>
      <c r="E60" s="82">
        <v>0</v>
      </c>
      <c r="F60" s="82">
        <v>13540.45</v>
      </c>
      <c r="G60" s="82">
        <v>0</v>
      </c>
      <c r="H60" s="91">
        <f t="shared" si="8"/>
        <v>0</v>
      </c>
      <c r="I60" s="85"/>
      <c r="J60" s="85"/>
      <c r="K60" s="86" t="str">
        <f t="shared" si="9"/>
        <v/>
      </c>
      <c r="L60" s="87" t="str">
        <f t="shared" si="10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11"/>
        <v>0</v>
      </c>
      <c r="V60" s="81">
        <v>0</v>
      </c>
      <c r="W60" s="81">
        <f>4747.75/6</f>
        <v>791.29166666666663</v>
      </c>
      <c r="X60" s="89"/>
      <c r="Y60"/>
    </row>
    <row r="61" spans="1:26" ht="16.5" x14ac:dyDescent="0.3">
      <c r="A61" s="90">
        <v>4</v>
      </c>
      <c r="B61" s="28">
        <v>0</v>
      </c>
      <c r="C61" s="28">
        <v>0</v>
      </c>
      <c r="D61" s="81">
        <v>1863.14</v>
      </c>
      <c r="E61" s="82">
        <v>0</v>
      </c>
      <c r="F61" s="82">
        <v>14556.34</v>
      </c>
      <c r="G61" s="82">
        <v>0</v>
      </c>
      <c r="H61" s="91">
        <f t="shared" si="8"/>
        <v>0</v>
      </c>
      <c r="I61" s="85"/>
      <c r="J61" s="85"/>
      <c r="K61" s="86" t="str">
        <f t="shared" si="9"/>
        <v/>
      </c>
      <c r="L61" s="87" t="str">
        <f t="shared" si="10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11"/>
        <v>0</v>
      </c>
      <c r="V61" s="81">
        <v>0</v>
      </c>
      <c r="W61" s="81">
        <f t="shared" ref="W61:W65" si="12">4747.75/6</f>
        <v>791.29166666666663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0</v>
      </c>
      <c r="D62" s="81">
        <v>1864.35</v>
      </c>
      <c r="E62" s="82">
        <v>0</v>
      </c>
      <c r="F62" s="82">
        <v>14546.5</v>
      </c>
      <c r="G62" s="82">
        <v>0</v>
      </c>
      <c r="H62" s="91">
        <f t="shared" si="8"/>
        <v>0</v>
      </c>
      <c r="I62" s="85"/>
      <c r="J62" s="85"/>
      <c r="K62" s="86" t="str">
        <f t="shared" si="9"/>
        <v/>
      </c>
      <c r="L62" s="87" t="str">
        <f t="shared" si="10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11"/>
        <v>0</v>
      </c>
      <c r="V62" s="81">
        <v>0</v>
      </c>
      <c r="W62" s="81">
        <f t="shared" si="12"/>
        <v>791.29166666666663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0</v>
      </c>
      <c r="D63" s="81">
        <v>2533.79</v>
      </c>
      <c r="E63" s="82">
        <v>0</v>
      </c>
      <c r="F63" s="82">
        <v>14645.4</v>
      </c>
      <c r="G63" s="82">
        <v>0</v>
      </c>
      <c r="H63" s="91">
        <f t="shared" si="8"/>
        <v>0</v>
      </c>
      <c r="I63" s="85"/>
      <c r="J63" s="85"/>
      <c r="K63" s="86" t="str">
        <f t="shared" si="9"/>
        <v/>
      </c>
      <c r="L63" s="87" t="str">
        <f t="shared" si="10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11"/>
        <v>0</v>
      </c>
      <c r="V63" s="81">
        <v>0</v>
      </c>
      <c r="W63" s="81">
        <f t="shared" si="12"/>
        <v>791.29166666666663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0</v>
      </c>
      <c r="D64" s="81">
        <v>2711.22</v>
      </c>
      <c r="E64" s="82">
        <v>0</v>
      </c>
      <c r="F64" s="82">
        <v>14998.64</v>
      </c>
      <c r="G64" s="82">
        <v>0</v>
      </c>
      <c r="H64" s="91">
        <f t="shared" si="8"/>
        <v>0</v>
      </c>
      <c r="I64" s="85"/>
      <c r="J64" s="85"/>
      <c r="K64" s="86" t="str">
        <f t="shared" si="9"/>
        <v/>
      </c>
      <c r="L64" s="87" t="str">
        <f t="shared" si="10"/>
        <v/>
      </c>
      <c r="M64" s="88">
        <v>3.24</v>
      </c>
      <c r="N64" s="88">
        <v>0.64</v>
      </c>
      <c r="O64" s="88">
        <v>0</v>
      </c>
      <c r="P64" s="88">
        <v>1.75</v>
      </c>
      <c r="Q64" s="88">
        <v>1.21</v>
      </c>
      <c r="R64" s="88">
        <v>0</v>
      </c>
      <c r="S64" s="88">
        <v>2.63</v>
      </c>
      <c r="T64" s="88">
        <v>1.0900000000000001</v>
      </c>
      <c r="U64" s="28">
        <f t="shared" si="11"/>
        <v>10.56</v>
      </c>
      <c r="V64" s="81">
        <v>0</v>
      </c>
      <c r="W64" s="81">
        <f t="shared" si="12"/>
        <v>791.29166666666663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0</v>
      </c>
      <c r="D65" s="81">
        <v>2834.92</v>
      </c>
      <c r="E65" s="82">
        <v>0</v>
      </c>
      <c r="F65" s="82">
        <v>15728.76</v>
      </c>
      <c r="G65" s="82">
        <v>0</v>
      </c>
      <c r="H65" s="91">
        <f t="shared" si="8"/>
        <v>0</v>
      </c>
      <c r="I65" s="85"/>
      <c r="J65" s="85"/>
      <c r="K65" s="86" t="str">
        <f t="shared" si="9"/>
        <v/>
      </c>
      <c r="L65" s="87" t="str">
        <f t="shared" si="10"/>
        <v/>
      </c>
      <c r="M65" s="88">
        <v>3.38</v>
      </c>
      <c r="N65" s="88">
        <v>2.4900000000000002</v>
      </c>
      <c r="O65" s="88">
        <v>1.26</v>
      </c>
      <c r="P65" s="88">
        <v>3.5</v>
      </c>
      <c r="Q65" s="88">
        <v>2.34</v>
      </c>
      <c r="R65" s="88">
        <v>1.41</v>
      </c>
      <c r="S65" s="88">
        <v>2.86</v>
      </c>
      <c r="T65" s="88">
        <v>1.64</v>
      </c>
      <c r="U65" s="28">
        <f t="shared" si="11"/>
        <v>18.88</v>
      </c>
      <c r="V65" s="81">
        <v>0</v>
      </c>
      <c r="W65" s="81">
        <f t="shared" si="12"/>
        <v>791.29166666666663</v>
      </c>
      <c r="X65" s="89"/>
      <c r="Y65"/>
    </row>
    <row r="66" spans="1:25" ht="16.5" x14ac:dyDescent="0.3">
      <c r="A66" s="90">
        <v>9</v>
      </c>
      <c r="B66" s="28">
        <v>0</v>
      </c>
      <c r="C66" s="28">
        <v>0</v>
      </c>
      <c r="D66" s="81">
        <v>2394</v>
      </c>
      <c r="E66" s="82">
        <v>0</v>
      </c>
      <c r="F66" s="82">
        <v>15168.16</v>
      </c>
      <c r="G66" s="82">
        <v>0</v>
      </c>
      <c r="H66" s="91">
        <f t="shared" si="8"/>
        <v>0</v>
      </c>
      <c r="I66" s="85"/>
      <c r="J66" s="85"/>
      <c r="K66" s="86" t="str">
        <f t="shared" si="9"/>
        <v/>
      </c>
      <c r="L66" s="87" t="str">
        <f t="shared" si="10"/>
        <v/>
      </c>
      <c r="M66" s="88">
        <v>3.88</v>
      </c>
      <c r="N66" s="88">
        <v>3.2</v>
      </c>
      <c r="O66" s="88">
        <v>4.3099999999999996</v>
      </c>
      <c r="P66" s="88">
        <v>2</v>
      </c>
      <c r="Q66" s="88">
        <v>4.16</v>
      </c>
      <c r="R66" s="88">
        <v>3.45</v>
      </c>
      <c r="S66" s="88">
        <v>4.22</v>
      </c>
      <c r="T66" s="88">
        <v>1.42</v>
      </c>
      <c r="U66" s="28">
        <f t="shared" si="11"/>
        <v>26.64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0</v>
      </c>
      <c r="D67" s="81">
        <v>1990.28</v>
      </c>
      <c r="E67" s="82">
        <v>0</v>
      </c>
      <c r="F67" s="82">
        <v>15317.06</v>
      </c>
      <c r="G67" s="82">
        <v>0</v>
      </c>
      <c r="H67" s="91">
        <f t="shared" si="8"/>
        <v>0</v>
      </c>
      <c r="I67" s="85"/>
      <c r="J67" s="85"/>
      <c r="K67" s="86" t="str">
        <f t="shared" si="9"/>
        <v/>
      </c>
      <c r="L67" s="87" t="str">
        <f t="shared" si="10"/>
        <v/>
      </c>
      <c r="M67" s="88">
        <v>3.56</v>
      </c>
      <c r="N67" s="88">
        <v>3.19</v>
      </c>
      <c r="O67" s="88">
        <v>4.16</v>
      </c>
      <c r="P67" s="88">
        <v>1.7</v>
      </c>
      <c r="Q67" s="88">
        <v>2.96</v>
      </c>
      <c r="R67" s="88">
        <v>3.44</v>
      </c>
      <c r="S67" s="88">
        <v>5.98</v>
      </c>
      <c r="T67" s="88">
        <v>1.24</v>
      </c>
      <c r="U67" s="28">
        <f t="shared" si="11"/>
        <v>26.23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0</v>
      </c>
      <c r="D68" s="81">
        <v>2041.44</v>
      </c>
      <c r="E68" s="82">
        <v>0</v>
      </c>
      <c r="F68" s="82">
        <v>15345.91</v>
      </c>
      <c r="G68" s="82">
        <v>0</v>
      </c>
      <c r="H68" s="91">
        <f t="shared" si="8"/>
        <v>0</v>
      </c>
      <c r="I68" s="85"/>
      <c r="J68" s="85"/>
      <c r="K68" s="86" t="str">
        <f t="shared" si="9"/>
        <v/>
      </c>
      <c r="L68" s="87" t="str">
        <f t="shared" si="10"/>
        <v/>
      </c>
      <c r="M68" s="88">
        <v>2.99</v>
      </c>
      <c r="N68" s="88">
        <v>4.62</v>
      </c>
      <c r="O68" s="88">
        <v>5.57</v>
      </c>
      <c r="P68" s="92">
        <v>0</v>
      </c>
      <c r="Q68" s="88">
        <v>3.99</v>
      </c>
      <c r="R68" s="88">
        <v>3.8</v>
      </c>
      <c r="S68" s="88">
        <v>6.55</v>
      </c>
      <c r="T68" s="88">
        <v>0</v>
      </c>
      <c r="U68" s="28">
        <f t="shared" si="11"/>
        <v>27.520000000000003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0</v>
      </c>
      <c r="D69" s="81">
        <v>3757.75</v>
      </c>
      <c r="E69" s="82">
        <v>0</v>
      </c>
      <c r="F69" s="82">
        <v>17269.900000000001</v>
      </c>
      <c r="G69" s="82">
        <v>35</v>
      </c>
      <c r="H69" s="91">
        <f t="shared" si="8"/>
        <v>-100</v>
      </c>
      <c r="I69" s="85"/>
      <c r="J69" s="85"/>
      <c r="K69" s="86" t="str">
        <f t="shared" si="9"/>
        <v/>
      </c>
      <c r="L69" s="87">
        <f t="shared" si="10"/>
        <v>-35</v>
      </c>
      <c r="M69" s="88">
        <v>3.91</v>
      </c>
      <c r="N69" s="88">
        <v>4.9000000000000004</v>
      </c>
      <c r="O69" s="88">
        <v>5.78</v>
      </c>
      <c r="P69" s="92">
        <v>0</v>
      </c>
      <c r="Q69" s="88">
        <v>4.2300000000000004</v>
      </c>
      <c r="R69" s="88">
        <v>3.77</v>
      </c>
      <c r="S69" s="88">
        <v>6.99</v>
      </c>
      <c r="T69" s="88">
        <v>0</v>
      </c>
      <c r="U69" s="28">
        <f t="shared" si="11"/>
        <v>29.58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0</v>
      </c>
      <c r="D70" s="81">
        <v>3879.76</v>
      </c>
      <c r="E70" s="82">
        <v>0</v>
      </c>
      <c r="F70" s="82">
        <v>17304.62</v>
      </c>
      <c r="G70" s="82">
        <v>70</v>
      </c>
      <c r="H70" s="91">
        <f t="shared" si="8"/>
        <v>-100</v>
      </c>
      <c r="I70" s="85"/>
      <c r="J70" s="85"/>
      <c r="K70" s="86" t="str">
        <f t="shared" si="9"/>
        <v/>
      </c>
      <c r="L70" s="87">
        <f t="shared" si="10"/>
        <v>-70</v>
      </c>
      <c r="M70" s="88">
        <v>3.91</v>
      </c>
      <c r="N70" s="88">
        <v>4.91</v>
      </c>
      <c r="O70" s="88">
        <v>5.78</v>
      </c>
      <c r="P70" s="92">
        <v>0</v>
      </c>
      <c r="Q70" s="88">
        <v>4.67</v>
      </c>
      <c r="R70" s="88">
        <v>3.81</v>
      </c>
      <c r="S70" s="88">
        <v>7.04</v>
      </c>
      <c r="T70" s="88">
        <v>0</v>
      </c>
      <c r="U70" s="28">
        <f t="shared" si="11"/>
        <v>30.12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15620</v>
      </c>
      <c r="C71" s="28">
        <v>6445.05</v>
      </c>
      <c r="D71" s="81">
        <v>1860.83</v>
      </c>
      <c r="E71" s="82">
        <v>3.64</v>
      </c>
      <c r="F71" s="82">
        <v>8974.11</v>
      </c>
      <c r="G71" s="82">
        <v>90</v>
      </c>
      <c r="H71" s="91">
        <f t="shared" si="8"/>
        <v>-95.955555555555549</v>
      </c>
      <c r="I71" s="85"/>
      <c r="J71" s="85"/>
      <c r="K71" s="86">
        <f t="shared" si="9"/>
        <v>174112.96813186811</v>
      </c>
      <c r="L71" s="87">
        <f t="shared" si="10"/>
        <v>-86.36</v>
      </c>
      <c r="M71" s="88">
        <v>3.89</v>
      </c>
      <c r="N71" s="88">
        <v>5.12</v>
      </c>
      <c r="O71" s="88">
        <v>5.78</v>
      </c>
      <c r="P71" s="92">
        <v>0</v>
      </c>
      <c r="Q71" s="88">
        <v>5.9</v>
      </c>
      <c r="R71" s="88">
        <v>3.8</v>
      </c>
      <c r="S71" s="88">
        <v>7.54</v>
      </c>
      <c r="T71" s="88">
        <v>0</v>
      </c>
      <c r="U71" s="28">
        <f t="shared" si="11"/>
        <v>32.03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41460</v>
      </c>
      <c r="C72" s="28">
        <v>11425.21</v>
      </c>
      <c r="D72" s="81">
        <v>0</v>
      </c>
      <c r="E72" s="82">
        <v>20.41</v>
      </c>
      <c r="F72" s="82">
        <v>0</v>
      </c>
      <c r="G72" s="82">
        <v>130</v>
      </c>
      <c r="H72" s="91">
        <f t="shared" si="8"/>
        <v>-84.3</v>
      </c>
      <c r="I72" s="85"/>
      <c r="J72" s="85"/>
      <c r="K72" s="86">
        <f t="shared" si="9"/>
        <v>38962.836452719261</v>
      </c>
      <c r="L72" s="87">
        <f t="shared" si="10"/>
        <v>-109.59</v>
      </c>
      <c r="M72" s="88">
        <v>4.01</v>
      </c>
      <c r="N72" s="88">
        <v>6.03</v>
      </c>
      <c r="O72" s="88">
        <v>6.75</v>
      </c>
      <c r="P72" s="92">
        <v>0</v>
      </c>
      <c r="Q72" s="88">
        <v>6.78</v>
      </c>
      <c r="R72" s="88">
        <v>3.94</v>
      </c>
      <c r="S72" s="88">
        <v>8.01</v>
      </c>
      <c r="T72" s="88">
        <v>4.67</v>
      </c>
      <c r="U72" s="28">
        <f t="shared" si="11"/>
        <v>40.190000000000005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73270</v>
      </c>
      <c r="C73" s="28">
        <v>9716.2099999999991</v>
      </c>
      <c r="D73" s="81">
        <v>0</v>
      </c>
      <c r="E73" s="82">
        <v>50.25</v>
      </c>
      <c r="F73" s="82">
        <v>0</v>
      </c>
      <c r="G73" s="82">
        <v>130</v>
      </c>
      <c r="H73" s="91">
        <f t="shared" si="8"/>
        <v>-61.346153846153847</v>
      </c>
      <c r="I73" s="85"/>
      <c r="J73" s="85"/>
      <c r="K73" s="86">
        <f t="shared" si="9"/>
        <v>19743.485611940301</v>
      </c>
      <c r="L73" s="87">
        <f t="shared" si="10"/>
        <v>-79.75</v>
      </c>
      <c r="M73" s="88">
        <v>5.33</v>
      </c>
      <c r="N73" s="88">
        <v>7.92</v>
      </c>
      <c r="O73" s="88">
        <v>10.29</v>
      </c>
      <c r="P73" s="88">
        <v>0</v>
      </c>
      <c r="Q73" s="88">
        <v>9.2899999999999991</v>
      </c>
      <c r="R73" s="88">
        <v>5.46</v>
      </c>
      <c r="S73" s="88">
        <v>8.06</v>
      </c>
      <c r="T73" s="88">
        <v>3.79</v>
      </c>
      <c r="U73" s="28">
        <f t="shared" si="11"/>
        <v>50.14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82680</v>
      </c>
      <c r="C74" s="28">
        <v>7936.36</v>
      </c>
      <c r="D74" s="81">
        <v>0</v>
      </c>
      <c r="E74" s="82">
        <v>62.37</v>
      </c>
      <c r="F74" s="82">
        <v>0</v>
      </c>
      <c r="G74" s="82">
        <v>170</v>
      </c>
      <c r="H74" s="91">
        <f t="shared" si="8"/>
        <v>-63.311764705882354</v>
      </c>
      <c r="I74" s="85"/>
      <c r="J74" s="85"/>
      <c r="K74" s="86">
        <f t="shared" si="9"/>
        <v>16430.308994709001</v>
      </c>
      <c r="L74" s="87">
        <f t="shared" si="10"/>
        <v>-107.63</v>
      </c>
      <c r="M74" s="88">
        <v>5.48</v>
      </c>
      <c r="N74" s="88">
        <v>8.1300000000000008</v>
      </c>
      <c r="O74" s="88">
        <v>10.88</v>
      </c>
      <c r="P74" s="88">
        <v>0</v>
      </c>
      <c r="Q74" s="88">
        <v>8.49</v>
      </c>
      <c r="R74" s="88">
        <v>6.99</v>
      </c>
      <c r="S74" s="88">
        <v>7.1</v>
      </c>
      <c r="T74" s="88">
        <v>4.72</v>
      </c>
      <c r="U74" s="28">
        <f t="shared" si="11"/>
        <v>51.790000000000006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86800</v>
      </c>
      <c r="C75" s="28">
        <v>6368.67</v>
      </c>
      <c r="D75" s="81">
        <v>0</v>
      </c>
      <c r="E75" s="82">
        <v>65.31</v>
      </c>
      <c r="F75" s="82">
        <v>0</v>
      </c>
      <c r="G75" s="82">
        <v>220</v>
      </c>
      <c r="H75" s="91">
        <f t="shared" si="8"/>
        <v>-70.313636363636363</v>
      </c>
      <c r="I75" s="85"/>
      <c r="J75" s="85"/>
      <c r="K75" s="86">
        <f t="shared" si="9"/>
        <v>15751.27441433165</v>
      </c>
      <c r="L75" s="87">
        <f t="shared" si="10"/>
        <v>-154.69</v>
      </c>
      <c r="M75" s="88">
        <v>5.82</v>
      </c>
      <c r="N75" s="88">
        <v>8.14</v>
      </c>
      <c r="O75" s="88">
        <v>10.82</v>
      </c>
      <c r="P75" s="88">
        <v>0</v>
      </c>
      <c r="Q75" s="88">
        <v>8.4700000000000006</v>
      </c>
      <c r="R75" s="88">
        <v>7.01</v>
      </c>
      <c r="S75" s="88">
        <v>7.02</v>
      </c>
      <c r="T75" s="88">
        <v>4.71</v>
      </c>
      <c r="U75" s="28">
        <f t="shared" si="11"/>
        <v>51.99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85040</v>
      </c>
      <c r="C76" s="28">
        <v>5185.5600000000004</v>
      </c>
      <c r="D76" s="81">
        <v>0</v>
      </c>
      <c r="E76" s="82">
        <v>63.97</v>
      </c>
      <c r="F76" s="82">
        <v>0</v>
      </c>
      <c r="G76" s="82">
        <v>270</v>
      </c>
      <c r="H76" s="91">
        <f t="shared" si="8"/>
        <v>-76.30740740740741</v>
      </c>
      <c r="I76" s="85"/>
      <c r="J76" s="85"/>
      <c r="K76" s="86">
        <f t="shared" si="9"/>
        <v>16551.378271064565</v>
      </c>
      <c r="L76" s="87">
        <f t="shared" si="10"/>
        <v>-206.03</v>
      </c>
      <c r="M76" s="88">
        <v>6.29</v>
      </c>
      <c r="N76" s="88">
        <v>8.58</v>
      </c>
      <c r="O76" s="88">
        <v>11.17</v>
      </c>
      <c r="P76" s="88">
        <v>0</v>
      </c>
      <c r="Q76" s="88">
        <v>8.56</v>
      </c>
      <c r="R76" s="88">
        <v>6.97</v>
      </c>
      <c r="S76" s="88">
        <v>7.12</v>
      </c>
      <c r="T76" s="88">
        <v>4.82</v>
      </c>
      <c r="U76" s="28">
        <f t="shared" si="11"/>
        <v>53.51</v>
      </c>
      <c r="V76" s="81">
        <f>21.1/6</f>
        <v>3.5166666666666671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82920</v>
      </c>
      <c r="C77" s="28">
        <v>6711.91</v>
      </c>
      <c r="D77" s="81">
        <v>0</v>
      </c>
      <c r="E77" s="82">
        <v>61.44</v>
      </c>
      <c r="F77" s="82">
        <v>0</v>
      </c>
      <c r="G77" s="82">
        <v>270</v>
      </c>
      <c r="H77" s="91">
        <f t="shared" si="8"/>
        <v>-77.24444444444444</v>
      </c>
      <c r="I77" s="85"/>
      <c r="J77" s="85"/>
      <c r="K77" s="86">
        <f t="shared" si="9"/>
        <v>17532.444531250003</v>
      </c>
      <c r="L77" s="87">
        <f t="shared" si="10"/>
        <v>-208.56</v>
      </c>
      <c r="M77" s="88">
        <v>6.5</v>
      </c>
      <c r="N77" s="88">
        <v>8.7799999999999994</v>
      </c>
      <c r="O77" s="88">
        <v>11.36</v>
      </c>
      <c r="P77" s="88">
        <v>0</v>
      </c>
      <c r="Q77" s="88">
        <v>8.65</v>
      </c>
      <c r="R77" s="88">
        <v>6.99</v>
      </c>
      <c r="S77" s="88">
        <v>7.25</v>
      </c>
      <c r="T77" s="88">
        <v>4.91</v>
      </c>
      <c r="U77" s="28">
        <f t="shared" si="11"/>
        <v>54.44</v>
      </c>
      <c r="V77" s="81">
        <f t="shared" ref="V77:V81" si="13">21.1/6</f>
        <v>3.5166666666666671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82950</v>
      </c>
      <c r="C78" s="28">
        <v>8416.74</v>
      </c>
      <c r="D78" s="81">
        <v>0</v>
      </c>
      <c r="E78" s="82">
        <v>61.72</v>
      </c>
      <c r="F78" s="82">
        <v>0</v>
      </c>
      <c r="G78" s="82">
        <v>233</v>
      </c>
      <c r="H78" s="91">
        <f t="shared" si="8"/>
        <v>-73.510729613733901</v>
      </c>
      <c r="I78" s="85"/>
      <c r="J78" s="85"/>
      <c r="K78" s="86">
        <f t="shared" si="9"/>
        <v>17295.817563188593</v>
      </c>
      <c r="L78" s="87">
        <f t="shared" si="10"/>
        <v>-171.28</v>
      </c>
      <c r="M78" s="88">
        <v>6.37</v>
      </c>
      <c r="N78" s="88">
        <v>8.65</v>
      </c>
      <c r="O78" s="88">
        <v>11.31</v>
      </c>
      <c r="P78" s="88">
        <v>0</v>
      </c>
      <c r="Q78" s="88">
        <v>8.6199999999999992</v>
      </c>
      <c r="R78" s="88">
        <v>6.99</v>
      </c>
      <c r="S78" s="88">
        <v>7.16</v>
      </c>
      <c r="T78" s="88">
        <v>4.8499999999999996</v>
      </c>
      <c r="U78" s="28">
        <f t="shared" si="11"/>
        <v>53.949999999999996</v>
      </c>
      <c r="V78" s="81">
        <f t="shared" si="13"/>
        <v>3.5166666666666671</v>
      </c>
      <c r="W78" s="81">
        <v>0</v>
      </c>
      <c r="X78" s="89"/>
      <c r="Y78"/>
    </row>
    <row r="79" spans="1:25" ht="16.5" x14ac:dyDescent="0.3">
      <c r="A79" s="90">
        <v>22</v>
      </c>
      <c r="B79" s="28">
        <v>84100</v>
      </c>
      <c r="C79" s="28">
        <v>8274.52</v>
      </c>
      <c r="D79" s="81">
        <v>0</v>
      </c>
      <c r="E79" s="82">
        <v>62.31</v>
      </c>
      <c r="F79" s="82">
        <v>0</v>
      </c>
      <c r="G79" s="82">
        <v>183</v>
      </c>
      <c r="H79" s="91">
        <f t="shared" si="8"/>
        <v>-65.950819672131146</v>
      </c>
      <c r="I79" s="85"/>
      <c r="J79" s="85"/>
      <c r="K79" s="86">
        <f t="shared" si="9"/>
        <v>17579.798555609053</v>
      </c>
      <c r="L79" s="87">
        <f t="shared" si="10"/>
        <v>-120.69</v>
      </c>
      <c r="M79" s="88">
        <v>6.68</v>
      </c>
      <c r="N79" s="88">
        <v>8.89</v>
      </c>
      <c r="O79" s="88">
        <v>11.49</v>
      </c>
      <c r="P79" s="88">
        <v>0</v>
      </c>
      <c r="Q79" s="88">
        <v>8.85</v>
      </c>
      <c r="R79" s="88">
        <v>6.99</v>
      </c>
      <c r="S79" s="88">
        <v>7.42</v>
      </c>
      <c r="T79" s="88">
        <v>5.04</v>
      </c>
      <c r="U79" s="28">
        <f t="shared" si="11"/>
        <v>55.360000000000007</v>
      </c>
      <c r="V79" s="81">
        <f t="shared" si="13"/>
        <v>3.5166666666666671</v>
      </c>
      <c r="W79" s="81">
        <v>0</v>
      </c>
      <c r="X79" s="89"/>
      <c r="Y79"/>
    </row>
    <row r="80" spans="1:25" ht="16.5" x14ac:dyDescent="0.3">
      <c r="A80" s="90">
        <v>23</v>
      </c>
      <c r="B80" s="28">
        <v>87900</v>
      </c>
      <c r="C80" s="28">
        <v>7319.7</v>
      </c>
      <c r="D80" s="81">
        <v>0</v>
      </c>
      <c r="E80" s="82">
        <v>66.14</v>
      </c>
      <c r="F80" s="82">
        <v>0</v>
      </c>
      <c r="G80" s="82">
        <v>136.15</v>
      </c>
      <c r="H80" s="91">
        <f t="shared" si="8"/>
        <v>-51.421226588321709</v>
      </c>
      <c r="I80" s="85"/>
      <c r="J80" s="85"/>
      <c r="K80" s="86">
        <f t="shared" si="9"/>
        <v>16995.586755367407</v>
      </c>
      <c r="L80" s="87">
        <f t="shared" si="10"/>
        <v>-70.010000000000005</v>
      </c>
      <c r="M80" s="88">
        <v>6.94</v>
      </c>
      <c r="N80" s="88">
        <v>9.18</v>
      </c>
      <c r="O80" s="88">
        <v>11.69</v>
      </c>
      <c r="P80" s="88">
        <v>0</v>
      </c>
      <c r="Q80" s="88">
        <v>9.1</v>
      </c>
      <c r="R80" s="88">
        <v>6.97</v>
      </c>
      <c r="S80" s="88">
        <v>7.64</v>
      </c>
      <c r="T80" s="88">
        <v>5.29</v>
      </c>
      <c r="U80" s="28">
        <f t="shared" si="11"/>
        <v>56.81</v>
      </c>
      <c r="V80" s="81">
        <f t="shared" si="13"/>
        <v>3.5166666666666671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92270</v>
      </c>
      <c r="C81" s="28">
        <v>5123.07</v>
      </c>
      <c r="D81" s="28">
        <v>0</v>
      </c>
      <c r="E81" s="96">
        <v>70.13</v>
      </c>
      <c r="F81" s="97">
        <v>0</v>
      </c>
      <c r="G81" s="82">
        <v>130</v>
      </c>
      <c r="H81" s="98">
        <f t="shared" si="8"/>
        <v>-46.053846153846152</v>
      </c>
      <c r="I81" s="115"/>
      <c r="J81" s="115"/>
      <c r="K81" s="99">
        <f t="shared" si="9"/>
        <v>16262.814088122064</v>
      </c>
      <c r="L81" s="87">
        <f t="shared" si="10"/>
        <v>-59.870000000000005</v>
      </c>
      <c r="M81" s="92">
        <v>7.07</v>
      </c>
      <c r="N81" s="92">
        <v>9.34</v>
      </c>
      <c r="O81" s="92">
        <v>11.83</v>
      </c>
      <c r="P81" s="92">
        <v>0</v>
      </c>
      <c r="Q81" s="92">
        <v>9.2799999999999994</v>
      </c>
      <c r="R81" s="92">
        <v>6.96</v>
      </c>
      <c r="S81" s="92">
        <v>7.79</v>
      </c>
      <c r="T81" s="92">
        <v>5.37</v>
      </c>
      <c r="U81" s="28">
        <f t="shared" si="11"/>
        <v>57.64</v>
      </c>
      <c r="V81" s="81">
        <f t="shared" si="13"/>
        <v>3.5166666666666671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4">SUM(B58:B81)</f>
        <v>815010</v>
      </c>
      <c r="C82" s="35">
        <f t="shared" si="14"/>
        <v>83291.489999999991</v>
      </c>
      <c r="D82" s="35">
        <f t="shared" si="14"/>
        <v>29093.550000000003</v>
      </c>
      <c r="E82" s="35">
        <f t="shared" si="14"/>
        <v>587.69000000000005</v>
      </c>
      <c r="F82" s="101">
        <f t="shared" si="14"/>
        <v>197273.76999999996</v>
      </c>
      <c r="G82" s="35">
        <f t="shared" si="14"/>
        <v>2067.15</v>
      </c>
      <c r="H82" s="102"/>
      <c r="I82" s="103"/>
      <c r="J82" s="104"/>
      <c r="K82" s="105">
        <f>IFERROR(AVERAGE(K58:K81),"")</f>
        <v>33383.519397288183</v>
      </c>
      <c r="L82" s="40">
        <f t="shared" ref="L82:U82" si="15">SUM(L58:L81)</f>
        <v>-1479.46</v>
      </c>
      <c r="M82" s="40">
        <f t="shared" si="15"/>
        <v>89.25</v>
      </c>
      <c r="N82" s="39">
        <f t="shared" si="15"/>
        <v>112.71000000000001</v>
      </c>
      <c r="O82" s="39">
        <f t="shared" si="15"/>
        <v>140.23000000000002</v>
      </c>
      <c r="P82" s="39">
        <f t="shared" si="15"/>
        <v>8.9499999999999993</v>
      </c>
      <c r="Q82" s="39">
        <f t="shared" si="15"/>
        <v>115.55</v>
      </c>
      <c r="R82" s="39">
        <f t="shared" si="15"/>
        <v>88.749999999999986</v>
      </c>
      <c r="S82" s="39">
        <f t="shared" si="15"/>
        <v>118.38000000000001</v>
      </c>
      <c r="T82" s="39">
        <f t="shared" si="15"/>
        <v>53.56</v>
      </c>
      <c r="U82" s="39">
        <f t="shared" si="15"/>
        <v>727.38</v>
      </c>
      <c r="V82" s="39">
        <f>+SUM(V58:V81)</f>
        <v>21.1</v>
      </c>
      <c r="W82" s="39">
        <f>SUM(W58:W81)</f>
        <v>4747.75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4747.75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197273.76999999996</v>
      </c>
      <c r="J87" s="41"/>
      <c r="K87" s="62" t="s">
        <v>59</v>
      </c>
      <c r="L87" s="113">
        <v>19297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0.43819444444444444</v>
      </c>
      <c r="B88" s="57">
        <v>0</v>
      </c>
      <c r="C88" s="57">
        <v>0.56180555555555556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16485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>
        <f>IFERROR(3412.14/K82,"")</f>
        <v>0.10221031399934351</v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A1:C1"/>
    <mergeCell ref="D1:U2"/>
    <mergeCell ref="V1:X4"/>
    <mergeCell ref="A2:C2"/>
    <mergeCell ref="A3:C3"/>
    <mergeCell ref="D3:U4"/>
    <mergeCell ref="A4:C4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39:A40"/>
    <mergeCell ref="B39:B40"/>
    <mergeCell ref="C39:C40"/>
    <mergeCell ref="D39:D40"/>
    <mergeCell ref="H39:I40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H41:H42"/>
    <mergeCell ref="I41:I42"/>
    <mergeCell ref="K44:L44"/>
    <mergeCell ref="C45:I46"/>
    <mergeCell ref="K45:L45"/>
    <mergeCell ref="K46:L4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A85:A86"/>
    <mergeCell ref="B85:B86"/>
    <mergeCell ref="C85:C86"/>
    <mergeCell ref="D85:D86"/>
    <mergeCell ref="H85:I86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K90:L90"/>
    <mergeCell ref="B91:B92"/>
    <mergeCell ref="C91:I92"/>
    <mergeCell ref="K91:L91"/>
    <mergeCell ref="K92:L9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7B00-6126-4147-A192-AB97130425ED}">
  <dimension ref="A1:Z109"/>
  <sheetViews>
    <sheetView topLeftCell="A53" zoomScale="85" zoomScaleNormal="85" workbookViewId="0">
      <selection activeCell="E88" sqref="E88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9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77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177690</v>
      </c>
      <c r="C12" s="28">
        <v>1.1400000000000001</v>
      </c>
      <c r="D12" s="28">
        <v>4343.83</v>
      </c>
      <c r="E12" s="28">
        <v>79.42</v>
      </c>
      <c r="F12" s="28">
        <v>80.08</v>
      </c>
      <c r="G12" s="28">
        <f t="shared" ref="G12:G35" si="0">+E12+F12</f>
        <v>159.5</v>
      </c>
      <c r="H12" s="28">
        <v>0</v>
      </c>
      <c r="I12" s="28">
        <v>0</v>
      </c>
      <c r="J12" s="112">
        <v>122</v>
      </c>
      <c r="K12" s="28">
        <f t="shared" ref="K12:K35" si="1">IF(J12=0,0,100*(G12-J12)/J12)</f>
        <v>30.737704918032787</v>
      </c>
      <c r="L12" s="28" t="s">
        <v>93</v>
      </c>
      <c r="M12" s="28" t="s">
        <v>90</v>
      </c>
      <c r="N12" s="28">
        <f t="shared" ref="N12:N35" si="2">IFERROR(V12*1000*2.2*$K$46/G12/1000,"")</f>
        <v>9485.5680000000029</v>
      </c>
      <c r="O12" s="28">
        <f t="shared" ref="O12:O35" si="3">IF(OR(K12&gt;5,K12&lt;-5),G12-J12,"")</f>
        <v>37.5</v>
      </c>
      <c r="P12" s="28">
        <v>8.81</v>
      </c>
      <c r="Q12" s="28">
        <v>15.46</v>
      </c>
      <c r="R12" s="28">
        <v>16.440000000000001</v>
      </c>
      <c r="S12" s="28">
        <v>17.45</v>
      </c>
      <c r="T12" s="28">
        <v>17.45</v>
      </c>
      <c r="U12" s="28">
        <v>7.91</v>
      </c>
      <c r="V12" s="28">
        <f t="shared" ref="V12:V35" si="4">+SUM(P12:U12)</f>
        <v>83.52000000000001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176390</v>
      </c>
      <c r="C13" s="28">
        <v>4.87</v>
      </c>
      <c r="D13" s="28">
        <v>4274.28</v>
      </c>
      <c r="E13" s="28">
        <v>78.78</v>
      </c>
      <c r="F13" s="28">
        <v>79.430000000000007</v>
      </c>
      <c r="G13" s="28">
        <f t="shared" si="0"/>
        <v>158.21</v>
      </c>
      <c r="H13" s="28">
        <v>0</v>
      </c>
      <c r="I13" s="28">
        <v>0</v>
      </c>
      <c r="J13" s="112">
        <v>105</v>
      </c>
      <c r="K13" s="28">
        <f t="shared" si="1"/>
        <v>50.676190476190484</v>
      </c>
      <c r="L13" s="28" t="s">
        <v>93</v>
      </c>
      <c r="M13" s="28" t="s">
        <v>90</v>
      </c>
      <c r="N13" s="28">
        <f t="shared" si="2"/>
        <v>9472.456886416785</v>
      </c>
      <c r="O13" s="28">
        <f t="shared" si="3"/>
        <v>53.210000000000008</v>
      </c>
      <c r="P13" s="28">
        <v>8.91</v>
      </c>
      <c r="Q13" s="28">
        <v>15.24</v>
      </c>
      <c r="R13" s="28">
        <v>16.23</v>
      </c>
      <c r="S13" s="28">
        <v>17.239999999999998</v>
      </c>
      <c r="T13" s="28">
        <v>17.23</v>
      </c>
      <c r="U13" s="28">
        <v>7.88</v>
      </c>
      <c r="V13" s="28">
        <f t="shared" si="4"/>
        <v>82.72999999999999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176030</v>
      </c>
      <c r="C14" s="28">
        <v>9.75</v>
      </c>
      <c r="D14" s="28">
        <v>3471.7</v>
      </c>
      <c r="E14" s="28">
        <v>78.59</v>
      </c>
      <c r="F14" s="28">
        <v>79.239999999999995</v>
      </c>
      <c r="G14" s="28">
        <f t="shared" si="0"/>
        <v>157.82999999999998</v>
      </c>
      <c r="H14" s="28">
        <v>0</v>
      </c>
      <c r="I14" s="28">
        <v>0</v>
      </c>
      <c r="J14" s="112">
        <v>105</v>
      </c>
      <c r="K14" s="28">
        <f t="shared" si="1"/>
        <v>50.314285714285695</v>
      </c>
      <c r="L14" s="28" t="s">
        <v>93</v>
      </c>
      <c r="M14" s="28" t="s">
        <v>90</v>
      </c>
      <c r="N14" s="28">
        <f t="shared" si="2"/>
        <v>9499.8542482417815</v>
      </c>
      <c r="O14" s="28">
        <f t="shared" si="3"/>
        <v>52.829999999999984</v>
      </c>
      <c r="P14" s="28">
        <v>8.98</v>
      </c>
      <c r="Q14" s="28">
        <v>15.2</v>
      </c>
      <c r="R14" s="28">
        <v>16.21</v>
      </c>
      <c r="S14" s="28">
        <v>17.21</v>
      </c>
      <c r="T14" s="28">
        <v>17.2</v>
      </c>
      <c r="U14" s="28">
        <v>7.97</v>
      </c>
      <c r="V14" s="28">
        <f t="shared" si="4"/>
        <v>82.77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176880</v>
      </c>
      <c r="C15" s="28">
        <v>1.25</v>
      </c>
      <c r="D15" s="28">
        <v>5009.21</v>
      </c>
      <c r="E15" s="28">
        <v>79.02</v>
      </c>
      <c r="F15" s="28">
        <v>79.67</v>
      </c>
      <c r="G15" s="28">
        <f t="shared" si="0"/>
        <v>158.69</v>
      </c>
      <c r="H15" s="28">
        <v>0</v>
      </c>
      <c r="I15" s="28">
        <v>0</v>
      </c>
      <c r="J15" s="112">
        <v>105</v>
      </c>
      <c r="K15" s="28">
        <f t="shared" si="1"/>
        <v>51.133333333333333</v>
      </c>
      <c r="L15" s="28" t="s">
        <v>93</v>
      </c>
      <c r="M15" s="28" t="s">
        <v>90</v>
      </c>
      <c r="N15" s="28">
        <f t="shared" si="2"/>
        <v>9488.324254836476</v>
      </c>
      <c r="O15" s="28">
        <f t="shared" si="3"/>
        <v>53.69</v>
      </c>
      <c r="P15" s="28">
        <v>9.07</v>
      </c>
      <c r="Q15" s="28">
        <v>15.25</v>
      </c>
      <c r="R15" s="28">
        <v>16.260000000000002</v>
      </c>
      <c r="S15" s="28">
        <v>17.260000000000002</v>
      </c>
      <c r="T15" s="28">
        <v>17.25</v>
      </c>
      <c r="U15" s="28">
        <v>8.0299999999999994</v>
      </c>
      <c r="V15" s="28">
        <f t="shared" si="4"/>
        <v>83.12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176030</v>
      </c>
      <c r="C16" s="28">
        <v>23.17</v>
      </c>
      <c r="D16" s="28">
        <v>3367.6099999999997</v>
      </c>
      <c r="E16" s="28">
        <v>78.599999999999994</v>
      </c>
      <c r="F16" s="28">
        <v>79.25</v>
      </c>
      <c r="G16" s="28">
        <f t="shared" si="0"/>
        <v>157.85</v>
      </c>
      <c r="H16" s="28">
        <v>0</v>
      </c>
      <c r="I16" s="28">
        <v>0</v>
      </c>
      <c r="J16" s="112">
        <v>105</v>
      </c>
      <c r="K16" s="28">
        <f t="shared" si="1"/>
        <v>50.333333333333321</v>
      </c>
      <c r="L16" s="28" t="s">
        <v>93</v>
      </c>
      <c r="M16" s="28" t="s">
        <v>90</v>
      </c>
      <c r="N16" s="28">
        <f t="shared" si="2"/>
        <v>9497.5029965156828</v>
      </c>
      <c r="O16" s="28">
        <f t="shared" si="3"/>
        <v>52.849999999999994</v>
      </c>
      <c r="P16" s="28">
        <v>8.76</v>
      </c>
      <c r="Q16" s="28">
        <v>15.27</v>
      </c>
      <c r="R16" s="28">
        <v>16.260000000000002</v>
      </c>
      <c r="S16" s="28">
        <v>17.27</v>
      </c>
      <c r="T16" s="28">
        <v>17.260000000000002</v>
      </c>
      <c r="U16" s="28">
        <v>7.94</v>
      </c>
      <c r="V16" s="28">
        <f t="shared" si="4"/>
        <v>82.76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177150</v>
      </c>
      <c r="C17" s="28">
        <v>75.42</v>
      </c>
      <c r="D17" s="28">
        <v>3414</v>
      </c>
      <c r="E17" s="28">
        <v>78.989999999999995</v>
      </c>
      <c r="F17" s="28">
        <v>79.64</v>
      </c>
      <c r="G17" s="28">
        <f t="shared" si="0"/>
        <v>158.63</v>
      </c>
      <c r="H17" s="28">
        <v>0</v>
      </c>
      <c r="I17" s="28">
        <v>0</v>
      </c>
      <c r="J17" s="112">
        <v>105</v>
      </c>
      <c r="K17" s="28">
        <f t="shared" si="1"/>
        <v>51.076190476190476</v>
      </c>
      <c r="L17" s="28" t="s">
        <v>93</v>
      </c>
      <c r="M17" s="28" t="s">
        <v>90</v>
      </c>
      <c r="N17" s="28">
        <f t="shared" si="2"/>
        <v>9465.6481876063808</v>
      </c>
      <c r="O17" s="28">
        <f t="shared" si="3"/>
        <v>53.629999999999995</v>
      </c>
      <c r="P17" s="28">
        <v>8.6300000000000008</v>
      </c>
      <c r="Q17" s="28">
        <v>15.35</v>
      </c>
      <c r="R17" s="28">
        <v>16.34</v>
      </c>
      <c r="S17" s="28">
        <v>17.34</v>
      </c>
      <c r="T17" s="28">
        <v>17.34</v>
      </c>
      <c r="U17" s="28">
        <v>7.89</v>
      </c>
      <c r="V17" s="28">
        <f t="shared" si="4"/>
        <v>82.89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162160</v>
      </c>
      <c r="C18" s="28">
        <v>268.74</v>
      </c>
      <c r="D18" s="28">
        <v>2717.4</v>
      </c>
      <c r="E18" s="28">
        <v>72.08</v>
      </c>
      <c r="F18" s="28">
        <v>72.680000000000007</v>
      </c>
      <c r="G18" s="28">
        <f t="shared" si="0"/>
        <v>144.76</v>
      </c>
      <c r="H18" s="28">
        <v>0</v>
      </c>
      <c r="I18" s="28">
        <v>0</v>
      </c>
      <c r="J18" s="112">
        <v>105</v>
      </c>
      <c r="K18" s="28">
        <f t="shared" si="1"/>
        <v>37.86666666666666</v>
      </c>
      <c r="L18" s="28" t="s">
        <v>89</v>
      </c>
      <c r="M18" s="28" t="s">
        <v>90</v>
      </c>
      <c r="N18" s="28">
        <f t="shared" si="2"/>
        <v>9335.2036474164142</v>
      </c>
      <c r="O18" s="28">
        <f t="shared" si="3"/>
        <v>39.759999999999991</v>
      </c>
      <c r="P18" s="28">
        <v>7.85</v>
      </c>
      <c r="Q18" s="28">
        <v>13.53</v>
      </c>
      <c r="R18" s="28">
        <v>14.53</v>
      </c>
      <c r="S18" s="28">
        <v>15.54</v>
      </c>
      <c r="T18" s="28">
        <v>15.53</v>
      </c>
      <c r="U18" s="28">
        <v>7.62</v>
      </c>
      <c r="V18" s="28">
        <f t="shared" si="4"/>
        <v>74.599999999999994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127470</v>
      </c>
      <c r="C19" s="28">
        <v>5008.82</v>
      </c>
      <c r="D19" s="28">
        <v>25.44</v>
      </c>
      <c r="E19" s="28">
        <v>55.93</v>
      </c>
      <c r="F19" s="28">
        <v>56.39</v>
      </c>
      <c r="G19" s="28">
        <f t="shared" si="0"/>
        <v>112.32</v>
      </c>
      <c r="H19" s="28">
        <v>0</v>
      </c>
      <c r="I19" s="28">
        <v>0</v>
      </c>
      <c r="J19" s="112">
        <v>90</v>
      </c>
      <c r="K19" s="28">
        <f t="shared" si="1"/>
        <v>24.79999999999999</v>
      </c>
      <c r="L19" s="28" t="s">
        <v>89</v>
      </c>
      <c r="M19" s="28" t="s">
        <v>90</v>
      </c>
      <c r="N19" s="28">
        <f t="shared" si="2"/>
        <v>9799.2810541310573</v>
      </c>
      <c r="O19" s="28">
        <f t="shared" si="3"/>
        <v>22.319999999999993</v>
      </c>
      <c r="P19" s="28">
        <v>7.49</v>
      </c>
      <c r="Q19" s="28">
        <v>10.36</v>
      </c>
      <c r="R19" s="28">
        <v>11.16</v>
      </c>
      <c r="S19" s="28">
        <v>12.17</v>
      </c>
      <c r="T19" s="28">
        <v>12.16</v>
      </c>
      <c r="U19" s="28">
        <v>7.42</v>
      </c>
      <c r="V19" s="28">
        <f t="shared" si="4"/>
        <v>60.760000000000005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107180</v>
      </c>
      <c r="C20" s="28">
        <v>7504.1</v>
      </c>
      <c r="D20" s="28">
        <v>0</v>
      </c>
      <c r="E20" s="28">
        <v>46.21</v>
      </c>
      <c r="F20" s="28">
        <v>46.56</v>
      </c>
      <c r="G20" s="28">
        <f t="shared" si="0"/>
        <v>92.77000000000001</v>
      </c>
      <c r="H20" s="28">
        <v>0</v>
      </c>
      <c r="I20" s="28">
        <v>0</v>
      </c>
      <c r="J20" s="112">
        <v>90</v>
      </c>
      <c r="K20" s="28">
        <f t="shared" si="1"/>
        <v>3.077777777777789</v>
      </c>
      <c r="L20" s="28"/>
      <c r="M20" s="28"/>
      <c r="N20" s="28">
        <f t="shared" si="2"/>
        <v>10538.49041716072</v>
      </c>
      <c r="O20" s="28" t="str">
        <f t="shared" si="3"/>
        <v/>
      </c>
      <c r="P20" s="28">
        <v>7.13</v>
      </c>
      <c r="Q20" s="28">
        <v>9.36</v>
      </c>
      <c r="R20" s="28">
        <v>9.32</v>
      </c>
      <c r="S20" s="28">
        <v>10.34</v>
      </c>
      <c r="T20" s="28">
        <v>10.35</v>
      </c>
      <c r="U20" s="28">
        <v>7.47</v>
      </c>
      <c r="V20" s="28">
        <f t="shared" si="4"/>
        <v>53.97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107050</v>
      </c>
      <c r="C21" s="28">
        <v>8618.26</v>
      </c>
      <c r="D21" s="28">
        <v>0</v>
      </c>
      <c r="E21" s="28">
        <v>46.12</v>
      </c>
      <c r="F21" s="28">
        <v>46.49</v>
      </c>
      <c r="G21" s="28">
        <f t="shared" si="0"/>
        <v>92.61</v>
      </c>
      <c r="H21" s="28">
        <v>0</v>
      </c>
      <c r="I21" s="28">
        <v>0</v>
      </c>
      <c r="J21" s="112">
        <v>90</v>
      </c>
      <c r="K21" s="28">
        <f t="shared" si="1"/>
        <v>2.8999999999999995</v>
      </c>
      <c r="L21" s="28"/>
      <c r="M21" s="28"/>
      <c r="N21" s="28">
        <f t="shared" si="2"/>
        <v>10652.543008314438</v>
      </c>
      <c r="O21" s="28" t="str">
        <f t="shared" si="3"/>
        <v/>
      </c>
      <c r="P21" s="28">
        <v>7.05</v>
      </c>
      <c r="Q21" s="28">
        <v>9.52</v>
      </c>
      <c r="R21" s="28">
        <v>9.51</v>
      </c>
      <c r="S21" s="28">
        <v>10.51</v>
      </c>
      <c r="T21" s="28">
        <v>10.52</v>
      </c>
      <c r="U21" s="28">
        <v>7.35</v>
      </c>
      <c r="V21" s="28">
        <f t="shared" si="4"/>
        <v>54.46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106740</v>
      </c>
      <c r="C22" s="28">
        <v>5352.13</v>
      </c>
      <c r="D22" s="28">
        <v>4.18</v>
      </c>
      <c r="E22" s="28">
        <v>46.06</v>
      </c>
      <c r="F22" s="28">
        <v>46.41</v>
      </c>
      <c r="G22" s="28">
        <f t="shared" si="0"/>
        <v>92.47</v>
      </c>
      <c r="H22" s="28">
        <v>0</v>
      </c>
      <c r="I22" s="28">
        <v>0</v>
      </c>
      <c r="J22" s="112">
        <v>90</v>
      </c>
      <c r="K22" s="28">
        <f t="shared" si="1"/>
        <v>2.7444444444444431</v>
      </c>
      <c r="L22" s="28"/>
      <c r="M22" s="28"/>
      <c r="N22" s="28">
        <f t="shared" si="2"/>
        <v>10627.53217259652</v>
      </c>
      <c r="O22" s="28" t="str">
        <f t="shared" si="3"/>
        <v/>
      </c>
      <c r="P22" s="28">
        <v>7.09</v>
      </c>
      <c r="Q22" s="28">
        <v>9.5500000000000007</v>
      </c>
      <c r="R22" s="28">
        <v>9.5500000000000007</v>
      </c>
      <c r="S22" s="28">
        <v>10.56</v>
      </c>
      <c r="T22" s="28">
        <v>10.55</v>
      </c>
      <c r="U22" s="28">
        <v>6.95</v>
      </c>
      <c r="V22" s="28">
        <f t="shared" si="4"/>
        <v>54.25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106130</v>
      </c>
      <c r="C23" s="28">
        <v>4713.7299999999996</v>
      </c>
      <c r="D23" s="28">
        <v>17.920000000000002</v>
      </c>
      <c r="E23" s="28">
        <v>45.71</v>
      </c>
      <c r="F23" s="28">
        <v>46.06</v>
      </c>
      <c r="G23" s="28">
        <f t="shared" si="0"/>
        <v>91.77000000000001</v>
      </c>
      <c r="H23" s="28">
        <v>0</v>
      </c>
      <c r="I23" s="28">
        <v>0</v>
      </c>
      <c r="J23" s="112">
        <v>90</v>
      </c>
      <c r="K23" s="28">
        <f t="shared" si="1"/>
        <v>1.9666666666666781</v>
      </c>
      <c r="L23" s="28"/>
      <c r="M23" s="28"/>
      <c r="N23" s="28">
        <f t="shared" si="2"/>
        <v>10809.267167919799</v>
      </c>
      <c r="O23" s="28" t="str">
        <f t="shared" si="3"/>
        <v/>
      </c>
      <c r="P23" s="28">
        <v>7</v>
      </c>
      <c r="Q23" s="28">
        <v>9.5500000000000007</v>
      </c>
      <c r="R23" s="28">
        <v>9.5399999999999991</v>
      </c>
      <c r="S23" s="28">
        <v>10.55</v>
      </c>
      <c r="T23" s="28">
        <v>10.55</v>
      </c>
      <c r="U23" s="28">
        <v>7.57</v>
      </c>
      <c r="V23" s="28">
        <f t="shared" si="4"/>
        <v>54.76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106330</v>
      </c>
      <c r="C24" s="28">
        <v>8645.1</v>
      </c>
      <c r="D24" s="28">
        <v>0.36</v>
      </c>
      <c r="E24" s="28">
        <v>45.81</v>
      </c>
      <c r="F24" s="28">
        <v>46.18</v>
      </c>
      <c r="G24" s="28">
        <f t="shared" si="0"/>
        <v>91.990000000000009</v>
      </c>
      <c r="H24" s="28">
        <v>0</v>
      </c>
      <c r="I24" s="28">
        <v>0</v>
      </c>
      <c r="J24" s="112">
        <v>90</v>
      </c>
      <c r="K24" s="28">
        <f t="shared" si="1"/>
        <v>2.211111111111121</v>
      </c>
      <c r="L24" s="28"/>
      <c r="M24" s="28"/>
      <c r="N24" s="28">
        <f t="shared" si="2"/>
        <v>10812.954321121862</v>
      </c>
      <c r="O24" s="28" t="str">
        <f t="shared" si="3"/>
        <v/>
      </c>
      <c r="P24" s="28">
        <v>7</v>
      </c>
      <c r="Q24" s="28">
        <v>9.5</v>
      </c>
      <c r="R24" s="28">
        <v>9.5</v>
      </c>
      <c r="S24" s="28">
        <v>10.5</v>
      </c>
      <c r="T24" s="28">
        <v>10.5</v>
      </c>
      <c r="U24" s="28">
        <v>7.91</v>
      </c>
      <c r="V24" s="28">
        <f t="shared" si="4"/>
        <v>54.91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106090</v>
      </c>
      <c r="C25" s="28">
        <v>11560.369999999999</v>
      </c>
      <c r="D25" s="28">
        <v>0</v>
      </c>
      <c r="E25" s="28">
        <v>45.66</v>
      </c>
      <c r="F25" s="28">
        <v>46.04</v>
      </c>
      <c r="G25" s="28">
        <f t="shared" si="0"/>
        <v>91.699999999999989</v>
      </c>
      <c r="H25" s="28">
        <v>0</v>
      </c>
      <c r="I25" s="28">
        <v>0</v>
      </c>
      <c r="J25" s="112">
        <v>90</v>
      </c>
      <c r="K25" s="28">
        <f t="shared" si="1"/>
        <v>1.8888888888888762</v>
      </c>
      <c r="L25" s="28"/>
      <c r="M25" s="28"/>
      <c r="N25" s="28">
        <f t="shared" si="2"/>
        <v>10799.739541984734</v>
      </c>
      <c r="O25" s="28" t="str">
        <f t="shared" si="3"/>
        <v/>
      </c>
      <c r="P25" s="28">
        <v>6.9</v>
      </c>
      <c r="Q25" s="28">
        <v>9.42</v>
      </c>
      <c r="R25" s="28">
        <v>9.42</v>
      </c>
      <c r="S25" s="28">
        <v>10.43</v>
      </c>
      <c r="T25" s="28">
        <v>10.42</v>
      </c>
      <c r="U25" s="28">
        <v>8.08</v>
      </c>
      <c r="V25" s="28">
        <f t="shared" si="4"/>
        <v>54.67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106090</v>
      </c>
      <c r="C26" s="28">
        <v>10694.48</v>
      </c>
      <c r="D26" s="28">
        <v>0</v>
      </c>
      <c r="E26" s="28">
        <v>45.66</v>
      </c>
      <c r="F26" s="28">
        <v>46.04</v>
      </c>
      <c r="G26" s="28">
        <f t="shared" si="0"/>
        <v>91.699999999999989</v>
      </c>
      <c r="H26" s="28">
        <v>0</v>
      </c>
      <c r="I26" s="28">
        <v>0</v>
      </c>
      <c r="J26" s="112">
        <v>90</v>
      </c>
      <c r="K26" s="28">
        <f t="shared" si="1"/>
        <v>1.8888888888888762</v>
      </c>
      <c r="L26" s="28"/>
      <c r="M26" s="28"/>
      <c r="N26" s="28">
        <f t="shared" si="2"/>
        <v>10839.248375136318</v>
      </c>
      <c r="O26" s="28" t="str">
        <f t="shared" si="3"/>
        <v/>
      </c>
      <c r="P26" s="28">
        <v>6.79</v>
      </c>
      <c r="Q26" s="28">
        <v>9.39</v>
      </c>
      <c r="R26" s="28">
        <v>9.3800000000000008</v>
      </c>
      <c r="S26" s="28">
        <v>10.38</v>
      </c>
      <c r="T26" s="28">
        <v>10.38</v>
      </c>
      <c r="U26" s="28">
        <v>8.5500000000000007</v>
      </c>
      <c r="V26" s="28">
        <f t="shared" si="4"/>
        <v>54.870000000000005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107970</v>
      </c>
      <c r="C27" s="28">
        <v>5345.99</v>
      </c>
      <c r="D27" s="28">
        <v>38.299999999999997</v>
      </c>
      <c r="E27" s="28">
        <v>46.48</v>
      </c>
      <c r="F27" s="28">
        <v>46.85</v>
      </c>
      <c r="G27" s="28">
        <f t="shared" si="0"/>
        <v>93.33</v>
      </c>
      <c r="H27" s="28">
        <v>0</v>
      </c>
      <c r="I27" s="28">
        <v>0</v>
      </c>
      <c r="J27" s="112">
        <v>90</v>
      </c>
      <c r="K27" s="28">
        <f t="shared" si="1"/>
        <v>3.699999999999998</v>
      </c>
      <c r="L27" s="28" t="s">
        <v>79</v>
      </c>
      <c r="M27" s="28" t="s">
        <v>90</v>
      </c>
      <c r="N27" s="28">
        <f t="shared" si="2"/>
        <v>10896.44135861995</v>
      </c>
      <c r="O27" s="28" t="str">
        <f t="shared" si="3"/>
        <v/>
      </c>
      <c r="P27" s="28">
        <v>7.31</v>
      </c>
      <c r="Q27" s="28">
        <v>9.52</v>
      </c>
      <c r="R27" s="28">
        <v>9.5399999999999991</v>
      </c>
      <c r="S27" s="28">
        <v>10.54</v>
      </c>
      <c r="T27" s="28">
        <v>10.54</v>
      </c>
      <c r="U27" s="28">
        <v>8.69</v>
      </c>
      <c r="V27" s="28">
        <f t="shared" si="4"/>
        <v>56.139999999999993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138180</v>
      </c>
      <c r="C28" s="28">
        <v>1950.9699999999998</v>
      </c>
      <c r="D28" s="28">
        <v>1913.63</v>
      </c>
      <c r="E28" s="28">
        <v>60.71</v>
      </c>
      <c r="F28" s="28">
        <v>61.19</v>
      </c>
      <c r="G28" s="28">
        <f t="shared" si="0"/>
        <v>121.9</v>
      </c>
      <c r="H28" s="28">
        <v>0</v>
      </c>
      <c r="I28" s="28">
        <v>0</v>
      </c>
      <c r="J28" s="112">
        <v>109</v>
      </c>
      <c r="K28" s="28">
        <f t="shared" si="1"/>
        <v>11.834862385321106</v>
      </c>
      <c r="L28" s="28" t="s">
        <v>79</v>
      </c>
      <c r="M28" s="28" t="s">
        <v>90</v>
      </c>
      <c r="N28" s="28">
        <f t="shared" si="2"/>
        <v>10403.750188679245</v>
      </c>
      <c r="O28" s="28">
        <f t="shared" si="3"/>
        <v>12.900000000000006</v>
      </c>
      <c r="P28" s="28">
        <v>7.72</v>
      </c>
      <c r="Q28" s="28">
        <v>12.84</v>
      </c>
      <c r="R28" s="28">
        <v>12.88</v>
      </c>
      <c r="S28" s="28">
        <v>13.84</v>
      </c>
      <c r="T28" s="28">
        <v>13.84</v>
      </c>
      <c r="U28" s="28">
        <v>8.89</v>
      </c>
      <c r="V28" s="28">
        <f t="shared" si="4"/>
        <v>70.010000000000005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169220</v>
      </c>
      <c r="C29" s="28">
        <v>0</v>
      </c>
      <c r="D29" s="28">
        <v>7565.02</v>
      </c>
      <c r="E29" s="28">
        <v>75.11</v>
      </c>
      <c r="F29" s="28">
        <v>75.69</v>
      </c>
      <c r="G29" s="28">
        <f t="shared" si="0"/>
        <v>150.80000000000001</v>
      </c>
      <c r="H29" s="28">
        <v>0</v>
      </c>
      <c r="I29" s="28">
        <v>0</v>
      </c>
      <c r="J29" s="112">
        <v>134</v>
      </c>
      <c r="K29" s="28">
        <f t="shared" si="1"/>
        <v>12.537313432835829</v>
      </c>
      <c r="L29" s="28" t="s">
        <v>79</v>
      </c>
      <c r="M29" s="28" t="s">
        <v>90</v>
      </c>
      <c r="N29" s="28">
        <f t="shared" si="2"/>
        <v>9816.5879045092843</v>
      </c>
      <c r="O29" s="28">
        <f t="shared" si="3"/>
        <v>16.800000000000011</v>
      </c>
      <c r="P29" s="28">
        <v>8.0500000000000007</v>
      </c>
      <c r="Q29" s="28">
        <v>15.56</v>
      </c>
      <c r="R29" s="28">
        <v>16.059999999999999</v>
      </c>
      <c r="S29" s="28">
        <v>16.57</v>
      </c>
      <c r="T29" s="28">
        <v>16.559999999999999</v>
      </c>
      <c r="U29" s="28">
        <v>8.92</v>
      </c>
      <c r="V29" s="28">
        <f t="shared" si="4"/>
        <v>81.72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176730</v>
      </c>
      <c r="C30" s="28">
        <v>0</v>
      </c>
      <c r="D30" s="28">
        <v>11939.41</v>
      </c>
      <c r="E30" s="28">
        <v>78.69</v>
      </c>
      <c r="F30" s="28">
        <v>79.3</v>
      </c>
      <c r="G30" s="28">
        <f t="shared" si="0"/>
        <v>157.99</v>
      </c>
      <c r="H30" s="28">
        <v>0</v>
      </c>
      <c r="I30" s="28">
        <v>0</v>
      </c>
      <c r="J30" s="112">
        <v>164</v>
      </c>
      <c r="K30" s="28">
        <f t="shared" si="1"/>
        <v>-3.664634146341458</v>
      </c>
      <c r="L30" s="28"/>
      <c r="M30" s="28"/>
      <c r="N30" s="28">
        <f t="shared" si="2"/>
        <v>9437.4909044876258</v>
      </c>
      <c r="O30" s="28" t="str">
        <f t="shared" si="3"/>
        <v/>
      </c>
      <c r="P30" s="28">
        <v>8.2799999999999994</v>
      </c>
      <c r="Q30" s="28">
        <v>15.71</v>
      </c>
      <c r="R30" s="28">
        <v>16.2</v>
      </c>
      <c r="S30" s="28">
        <v>16.71</v>
      </c>
      <c r="T30" s="28">
        <v>16.7</v>
      </c>
      <c r="U30" s="28">
        <v>8.7100000000000009</v>
      </c>
      <c r="V30" s="28">
        <f t="shared" si="4"/>
        <v>82.31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177130</v>
      </c>
      <c r="C31" s="28">
        <v>0</v>
      </c>
      <c r="D31" s="28">
        <v>18743.060000000001</v>
      </c>
      <c r="E31" s="28">
        <v>79.02</v>
      </c>
      <c r="F31" s="28">
        <v>79.61</v>
      </c>
      <c r="G31" s="28">
        <f t="shared" si="0"/>
        <v>158.63</v>
      </c>
      <c r="H31" s="28">
        <v>0</v>
      </c>
      <c r="I31" s="28">
        <v>0</v>
      </c>
      <c r="J31" s="112">
        <v>147</v>
      </c>
      <c r="K31" s="28">
        <f t="shared" si="1"/>
        <v>7.9115646258503372</v>
      </c>
      <c r="L31" s="28" t="s">
        <v>92</v>
      </c>
      <c r="M31" s="28" t="s">
        <v>90</v>
      </c>
      <c r="N31" s="28">
        <f t="shared" si="2"/>
        <v>9439.383269242895</v>
      </c>
      <c r="O31" s="28">
        <f t="shared" si="3"/>
        <v>11.629999999999995</v>
      </c>
      <c r="P31" s="28">
        <v>8.58</v>
      </c>
      <c r="Q31" s="28">
        <v>15.72</v>
      </c>
      <c r="R31" s="28">
        <v>16.2</v>
      </c>
      <c r="S31" s="28">
        <v>16.7</v>
      </c>
      <c r="T31" s="28">
        <v>16.7</v>
      </c>
      <c r="U31" s="28">
        <v>8.76</v>
      </c>
      <c r="V31" s="28">
        <f t="shared" si="4"/>
        <v>82.660000000000011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177610</v>
      </c>
      <c r="C32" s="28">
        <v>0</v>
      </c>
      <c r="D32" s="28">
        <v>16596.419999999998</v>
      </c>
      <c r="E32" s="28">
        <v>79.37</v>
      </c>
      <c r="F32" s="28">
        <v>80.010000000000005</v>
      </c>
      <c r="G32" s="28">
        <f t="shared" si="0"/>
        <v>159.38</v>
      </c>
      <c r="H32" s="28">
        <v>0</v>
      </c>
      <c r="I32" s="28">
        <v>0</v>
      </c>
      <c r="J32" s="112">
        <v>140</v>
      </c>
      <c r="K32" s="28">
        <f t="shared" si="1"/>
        <v>13.84285714285714</v>
      </c>
      <c r="L32" s="28" t="s">
        <v>92</v>
      </c>
      <c r="M32" s="28" t="s">
        <v>90</v>
      </c>
      <c r="N32" s="28">
        <f t="shared" si="2"/>
        <v>9354.0471828334812</v>
      </c>
      <c r="O32" s="28">
        <f t="shared" si="3"/>
        <v>19.379999999999995</v>
      </c>
      <c r="P32" s="28">
        <v>8.65</v>
      </c>
      <c r="Q32" s="28">
        <v>15.7</v>
      </c>
      <c r="R32" s="28">
        <v>16.2</v>
      </c>
      <c r="S32" s="28">
        <v>16.7</v>
      </c>
      <c r="T32" s="28">
        <v>16.7</v>
      </c>
      <c r="U32" s="28">
        <v>8.35</v>
      </c>
      <c r="V32" s="28">
        <f t="shared" si="4"/>
        <v>82.3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177900</v>
      </c>
      <c r="C33" s="28">
        <v>0</v>
      </c>
      <c r="D33" s="28">
        <v>13436.900000000001</v>
      </c>
      <c r="E33" s="28">
        <v>79.55</v>
      </c>
      <c r="F33" s="28">
        <v>80.23</v>
      </c>
      <c r="G33" s="28">
        <f t="shared" si="0"/>
        <v>159.78</v>
      </c>
      <c r="H33" s="28">
        <v>0</v>
      </c>
      <c r="I33" s="28">
        <v>0</v>
      </c>
      <c r="J33" s="112">
        <v>110</v>
      </c>
      <c r="K33" s="28">
        <f t="shared" si="1"/>
        <v>45.254545454545458</v>
      </c>
      <c r="L33" s="28" t="s">
        <v>92</v>
      </c>
      <c r="M33" s="28" t="s">
        <v>90</v>
      </c>
      <c r="N33" s="28">
        <f t="shared" si="2"/>
        <v>9337.4322693703871</v>
      </c>
      <c r="O33" s="28">
        <f t="shared" si="3"/>
        <v>49.78</v>
      </c>
      <c r="P33" s="28">
        <v>8.7899999999999991</v>
      </c>
      <c r="Q33" s="28">
        <v>15.7</v>
      </c>
      <c r="R33" s="28">
        <v>16.190000000000001</v>
      </c>
      <c r="S33" s="28">
        <v>16.7</v>
      </c>
      <c r="T33" s="28">
        <v>16.7</v>
      </c>
      <c r="U33" s="28">
        <v>8.2799999999999994</v>
      </c>
      <c r="V33" s="28">
        <f t="shared" si="4"/>
        <v>82.36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177720</v>
      </c>
      <c r="C34" s="28">
        <v>0</v>
      </c>
      <c r="D34" s="28">
        <v>13409.82</v>
      </c>
      <c r="E34" s="28">
        <v>79.48</v>
      </c>
      <c r="F34" s="28">
        <v>80.16</v>
      </c>
      <c r="G34" s="28">
        <f t="shared" si="0"/>
        <v>159.63999999999999</v>
      </c>
      <c r="H34" s="28">
        <v>0</v>
      </c>
      <c r="I34" s="28">
        <v>0</v>
      </c>
      <c r="J34" s="112">
        <v>90</v>
      </c>
      <c r="K34" s="28">
        <f t="shared" si="1"/>
        <v>77.377777777777752</v>
      </c>
      <c r="L34" s="28" t="s">
        <v>92</v>
      </c>
      <c r="M34" s="28" t="s">
        <v>90</v>
      </c>
      <c r="N34" s="28">
        <f t="shared" si="2"/>
        <v>9339.9473064394915</v>
      </c>
      <c r="O34" s="28">
        <f t="shared" si="3"/>
        <v>69.639999999999986</v>
      </c>
      <c r="P34" s="28">
        <v>8.8000000000000007</v>
      </c>
      <c r="Q34" s="28">
        <v>15.7</v>
      </c>
      <c r="R34" s="28">
        <v>16.2</v>
      </c>
      <c r="S34" s="28">
        <v>16.71</v>
      </c>
      <c r="T34" s="28">
        <v>16.7</v>
      </c>
      <c r="U34" s="28">
        <v>8.1999999999999993</v>
      </c>
      <c r="V34" s="28">
        <f t="shared" si="4"/>
        <v>82.31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177470</v>
      </c>
      <c r="C35" s="28">
        <v>0</v>
      </c>
      <c r="D35" s="28">
        <v>20730.73</v>
      </c>
      <c r="E35" s="28">
        <v>79.430000000000007</v>
      </c>
      <c r="F35" s="28">
        <v>80.11</v>
      </c>
      <c r="G35" s="28">
        <f t="shared" si="0"/>
        <v>159.54000000000002</v>
      </c>
      <c r="H35" s="28">
        <v>0</v>
      </c>
      <c r="I35" s="28">
        <v>0</v>
      </c>
      <c r="J35" s="112">
        <v>90</v>
      </c>
      <c r="K35" s="116">
        <f t="shared" si="1"/>
        <v>77.26666666666668</v>
      </c>
      <c r="L35" s="28" t="s">
        <v>92</v>
      </c>
      <c r="M35" s="28" t="s">
        <v>90</v>
      </c>
      <c r="N35" s="28">
        <f t="shared" si="2"/>
        <v>9353.7496803309532</v>
      </c>
      <c r="O35" s="28">
        <f t="shared" si="3"/>
        <v>69.54000000000002</v>
      </c>
      <c r="P35" s="28">
        <v>8.8800000000000008</v>
      </c>
      <c r="Q35" s="28">
        <v>15.69</v>
      </c>
      <c r="R35" s="28">
        <v>16.2</v>
      </c>
      <c r="S35" s="28">
        <v>16.71</v>
      </c>
      <c r="T35" s="28">
        <v>16.7</v>
      </c>
      <c r="U35" s="28">
        <v>8.1999999999999993</v>
      </c>
      <c r="V35" s="28">
        <f t="shared" si="4"/>
        <v>82.38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3575340</v>
      </c>
      <c r="C36" s="35">
        <f t="shared" ref="C36:J36" si="5">SUM(C12:C35)</f>
        <v>69778.290000000008</v>
      </c>
      <c r="D36" s="35">
        <f t="shared" si="5"/>
        <v>131019.22000000002</v>
      </c>
      <c r="E36" s="35">
        <f t="shared" si="5"/>
        <v>1580.48</v>
      </c>
      <c r="F36" s="35">
        <f t="shared" si="5"/>
        <v>1593.31</v>
      </c>
      <c r="G36" s="35">
        <f t="shared" si="5"/>
        <v>3173.79</v>
      </c>
      <c r="H36" s="35">
        <f t="shared" si="5"/>
        <v>0</v>
      </c>
      <c r="I36" s="35">
        <f t="shared" si="5"/>
        <v>0</v>
      </c>
      <c r="J36" s="35">
        <f t="shared" si="5"/>
        <v>2546</v>
      </c>
      <c r="K36" s="36"/>
      <c r="L36" s="37"/>
      <c r="M36" s="38"/>
      <c r="N36" s="35">
        <f>IFERROR(AVERAGE(N12:N35),"")</f>
        <v>9937.6018476630106</v>
      </c>
      <c r="O36" s="39">
        <f t="shared" ref="O36:U36" si="6">SUM(O12:O35)</f>
        <v>615.46</v>
      </c>
      <c r="P36" s="39">
        <f t="shared" si="6"/>
        <v>192.52000000000004</v>
      </c>
      <c r="Q36" s="39">
        <f t="shared" si="6"/>
        <v>314.08999999999997</v>
      </c>
      <c r="R36" s="39">
        <f t="shared" si="6"/>
        <v>325.31999999999994</v>
      </c>
      <c r="S36" s="39">
        <f t="shared" si="6"/>
        <v>345.92999999999989</v>
      </c>
      <c r="T36" s="39">
        <f t="shared" si="6"/>
        <v>345.83</v>
      </c>
      <c r="U36" s="39">
        <f t="shared" si="6"/>
        <v>193.53999999999996</v>
      </c>
      <c r="V36" s="39">
        <f>SUM(V12:V35)</f>
        <v>1717.23</v>
      </c>
      <c r="W36" s="40">
        <f>SUM(W12:W35)</f>
        <v>0</v>
      </c>
      <c r="X36" s="40">
        <f>SUM(X12:X35)</f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0</v>
      </c>
      <c r="J41" s="41"/>
      <c r="K41" s="13" t="s">
        <v>59</v>
      </c>
      <c r="L41" s="113">
        <v>409875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1</v>
      </c>
      <c r="B42" s="57">
        <v>0</v>
      </c>
      <c r="C42" s="57">
        <v>0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173392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>
        <f>IFERROR(3412.14/N36,"")</f>
        <v>0.34335648100073762</v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9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David Ortiz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93010</v>
      </c>
      <c r="C58" s="28">
        <v>6164.61</v>
      </c>
      <c r="D58" s="81">
        <v>1.21</v>
      </c>
      <c r="E58" s="82">
        <v>70.81</v>
      </c>
      <c r="F58" s="83">
        <v>0</v>
      </c>
      <c r="G58" s="82">
        <v>132</v>
      </c>
      <c r="H58" s="84">
        <f t="shared" ref="H58:H81" si="7">IF(G58=0,0,100*(E58-G58)/G58)</f>
        <v>-46.356060606060609</v>
      </c>
      <c r="I58" s="85"/>
      <c r="J58" s="85" t="s">
        <v>91</v>
      </c>
      <c r="K58" s="86">
        <f t="shared" ref="K58:K81" si="8">IFERROR(U58*1000*2.2*$K$92/E58/1000,"")</f>
        <v>16545.352746787179</v>
      </c>
      <c r="L58" s="87">
        <f t="shared" ref="L58:L81" si="9">IF(OR(H58&gt;5,H58&lt;-5),E58-G58,"")</f>
        <v>-61.19</v>
      </c>
      <c r="M58" s="88">
        <v>7.32</v>
      </c>
      <c r="N58" s="88">
        <v>9.59</v>
      </c>
      <c r="O58" s="88">
        <v>12.09</v>
      </c>
      <c r="P58" s="88">
        <v>0</v>
      </c>
      <c r="Q58" s="88">
        <v>9.56</v>
      </c>
      <c r="R58" s="88">
        <v>6.99</v>
      </c>
      <c r="S58" s="88">
        <v>8.0399999999999991</v>
      </c>
      <c r="T58" s="88">
        <v>5.62</v>
      </c>
      <c r="U58" s="28">
        <f>+SUM(M58:T58)</f>
        <v>59.21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94460</v>
      </c>
      <c r="C59" s="28">
        <v>6428.9</v>
      </c>
      <c r="D59" s="81">
        <v>0</v>
      </c>
      <c r="E59" s="82">
        <v>71.94</v>
      </c>
      <c r="F59" s="82">
        <v>0</v>
      </c>
      <c r="G59" s="82">
        <v>130</v>
      </c>
      <c r="H59" s="91">
        <f t="shared" si="7"/>
        <v>-44.661538461538463</v>
      </c>
      <c r="I59" s="85"/>
      <c r="J59" s="85" t="s">
        <v>91</v>
      </c>
      <c r="K59" s="86">
        <f t="shared" si="8"/>
        <v>16299.218348623857</v>
      </c>
      <c r="L59" s="87">
        <f t="shared" si="9"/>
        <v>-58.06</v>
      </c>
      <c r="M59" s="88">
        <v>7.34</v>
      </c>
      <c r="N59" s="88">
        <v>9.59</v>
      </c>
      <c r="O59" s="88">
        <v>12.07</v>
      </c>
      <c r="P59" s="88">
        <v>0</v>
      </c>
      <c r="Q59" s="88">
        <v>9.58</v>
      </c>
      <c r="R59" s="88">
        <v>6.95</v>
      </c>
      <c r="S59" s="88">
        <v>8.07</v>
      </c>
      <c r="T59" s="88">
        <v>5.66</v>
      </c>
      <c r="U59" s="28">
        <f t="shared" ref="U59:U81" si="10">+SUM(M59:T59)</f>
        <v>59.260000000000005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99130</v>
      </c>
      <c r="C60" s="28">
        <v>7115.56</v>
      </c>
      <c r="D60" s="81">
        <v>0</v>
      </c>
      <c r="E60" s="82">
        <v>75.66</v>
      </c>
      <c r="F60" s="82">
        <v>0</v>
      </c>
      <c r="G60" s="82">
        <v>130</v>
      </c>
      <c r="H60" s="91">
        <f t="shared" si="7"/>
        <v>-41.8</v>
      </c>
      <c r="I60" s="85"/>
      <c r="J60" s="85" t="s">
        <v>91</v>
      </c>
      <c r="K60" s="86">
        <f t="shared" si="8"/>
        <v>16036.565900079306</v>
      </c>
      <c r="L60" s="87">
        <f t="shared" si="9"/>
        <v>-54.34</v>
      </c>
      <c r="M60" s="88">
        <v>7.68</v>
      </c>
      <c r="N60" s="88">
        <v>9.9499999999999993</v>
      </c>
      <c r="O60" s="88">
        <v>12.5</v>
      </c>
      <c r="P60" s="88">
        <v>0</v>
      </c>
      <c r="Q60" s="88">
        <v>9.92</v>
      </c>
      <c r="R60" s="88">
        <v>6.98</v>
      </c>
      <c r="S60" s="88">
        <v>8.3800000000000008</v>
      </c>
      <c r="T60" s="88">
        <v>5.91</v>
      </c>
      <c r="U60" s="28">
        <f t="shared" si="10"/>
        <v>61.320000000000007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103140</v>
      </c>
      <c r="C61" s="28">
        <v>7036.22</v>
      </c>
      <c r="D61" s="81">
        <v>0</v>
      </c>
      <c r="E61" s="82">
        <v>80.48</v>
      </c>
      <c r="F61" s="82">
        <v>0</v>
      </c>
      <c r="G61" s="82">
        <v>130</v>
      </c>
      <c r="H61" s="91">
        <f t="shared" si="7"/>
        <v>-38.092307692307692</v>
      </c>
      <c r="I61" s="85"/>
      <c r="J61" s="85" t="s">
        <v>91</v>
      </c>
      <c r="K61" s="86">
        <f t="shared" si="8"/>
        <v>15405.577634194831</v>
      </c>
      <c r="L61" s="87">
        <f t="shared" si="9"/>
        <v>-49.519999999999996</v>
      </c>
      <c r="M61" s="88">
        <v>8.18</v>
      </c>
      <c r="N61" s="88">
        <v>10.44</v>
      </c>
      <c r="O61" s="88">
        <v>13.01</v>
      </c>
      <c r="P61" s="88">
        <v>0</v>
      </c>
      <c r="Q61" s="88">
        <v>10.82</v>
      </c>
      <c r="R61" s="88">
        <v>8.81</v>
      </c>
      <c r="S61" s="88">
        <v>9.24</v>
      </c>
      <c r="T61" s="88">
        <v>2.16</v>
      </c>
      <c r="U61" s="28">
        <f t="shared" si="10"/>
        <v>62.66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107910</v>
      </c>
      <c r="C62" s="28">
        <v>8328.56</v>
      </c>
      <c r="D62" s="81">
        <v>0</v>
      </c>
      <c r="E62" s="82">
        <v>84.32</v>
      </c>
      <c r="F62" s="82">
        <v>0</v>
      </c>
      <c r="G62" s="82">
        <v>130</v>
      </c>
      <c r="H62" s="91">
        <f t="shared" si="7"/>
        <v>-35.138461538461549</v>
      </c>
      <c r="I62" s="85"/>
      <c r="J62" s="85" t="s">
        <v>91</v>
      </c>
      <c r="K62" s="86">
        <f t="shared" si="8"/>
        <v>15471.343975332067</v>
      </c>
      <c r="L62" s="87">
        <f t="shared" si="9"/>
        <v>-45.680000000000007</v>
      </c>
      <c r="M62" s="88">
        <v>7.2</v>
      </c>
      <c r="N62" s="88">
        <v>11.02</v>
      </c>
      <c r="O62" s="88">
        <v>15.03</v>
      </c>
      <c r="P62" s="88">
        <v>0</v>
      </c>
      <c r="Q62" s="88">
        <v>11.86</v>
      </c>
      <c r="R62" s="88">
        <v>10.58</v>
      </c>
      <c r="S62" s="88">
        <v>10.24</v>
      </c>
      <c r="T62" s="88">
        <v>0</v>
      </c>
      <c r="U62" s="28">
        <f t="shared" si="10"/>
        <v>65.929999999999993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118140</v>
      </c>
      <c r="C63" s="28">
        <v>7330.2</v>
      </c>
      <c r="D63" s="81">
        <v>0</v>
      </c>
      <c r="E63" s="82">
        <v>94.64</v>
      </c>
      <c r="F63" s="82">
        <v>0</v>
      </c>
      <c r="G63" s="82">
        <v>130</v>
      </c>
      <c r="H63" s="91">
        <f t="shared" si="7"/>
        <v>-27.2</v>
      </c>
      <c r="I63" s="85"/>
      <c r="J63" s="85" t="s">
        <v>91</v>
      </c>
      <c r="K63" s="86">
        <f t="shared" si="8"/>
        <v>14428.223457311919</v>
      </c>
      <c r="L63" s="87">
        <f t="shared" si="9"/>
        <v>-35.36</v>
      </c>
      <c r="M63" s="88">
        <v>5.59</v>
      </c>
      <c r="N63" s="88">
        <v>11</v>
      </c>
      <c r="O63" s="88">
        <v>16.670000000000002</v>
      </c>
      <c r="P63" s="88">
        <v>0</v>
      </c>
      <c r="Q63" s="88">
        <v>12.59</v>
      </c>
      <c r="R63" s="88">
        <v>11.68</v>
      </c>
      <c r="S63" s="88">
        <v>11.48</v>
      </c>
      <c r="T63" s="88">
        <v>0</v>
      </c>
      <c r="U63" s="28">
        <f t="shared" si="10"/>
        <v>69.010000000000005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118740</v>
      </c>
      <c r="C64" s="28">
        <v>5861.49</v>
      </c>
      <c r="D64" s="81">
        <v>0</v>
      </c>
      <c r="E64" s="82">
        <v>95.54</v>
      </c>
      <c r="F64" s="82">
        <v>0</v>
      </c>
      <c r="G64" s="82">
        <v>135</v>
      </c>
      <c r="H64" s="91">
        <f t="shared" si="7"/>
        <v>-29.229629629629628</v>
      </c>
      <c r="I64" s="85"/>
      <c r="J64" s="85" t="s">
        <v>91</v>
      </c>
      <c r="K64" s="86">
        <f t="shared" si="8"/>
        <v>13942.300355871886</v>
      </c>
      <c r="L64" s="87">
        <f t="shared" si="9"/>
        <v>-39.459999999999994</v>
      </c>
      <c r="M64" s="88">
        <v>5.28</v>
      </c>
      <c r="N64" s="88">
        <v>10.67</v>
      </c>
      <c r="O64" s="88">
        <v>16.149999999999999</v>
      </c>
      <c r="P64" s="88">
        <v>0</v>
      </c>
      <c r="Q64" s="88">
        <v>12.31</v>
      </c>
      <c r="R64" s="88">
        <v>11.72</v>
      </c>
      <c r="S64" s="88">
        <v>11.19</v>
      </c>
      <c r="T64" s="88">
        <v>0</v>
      </c>
      <c r="U64" s="28">
        <f t="shared" si="10"/>
        <v>67.319999999999993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136910</v>
      </c>
      <c r="C65" s="28">
        <v>2142.4499999999998</v>
      </c>
      <c r="D65" s="81">
        <v>11.07</v>
      </c>
      <c r="E65" s="82">
        <v>111.84</v>
      </c>
      <c r="F65" s="82">
        <v>0</v>
      </c>
      <c r="G65" s="82">
        <v>130</v>
      </c>
      <c r="H65" s="91">
        <f t="shared" si="7"/>
        <v>-13.969230769230766</v>
      </c>
      <c r="I65" s="85"/>
      <c r="J65" s="85" t="s">
        <v>91</v>
      </c>
      <c r="K65" s="86">
        <f t="shared" si="8"/>
        <v>12108.445922746781</v>
      </c>
      <c r="L65" s="87">
        <f t="shared" si="9"/>
        <v>-18.159999999999997</v>
      </c>
      <c r="M65" s="88">
        <v>5.82</v>
      </c>
      <c r="N65" s="88">
        <v>10.88</v>
      </c>
      <c r="O65" s="88">
        <v>16.239999999999998</v>
      </c>
      <c r="P65" s="88">
        <v>0</v>
      </c>
      <c r="Q65" s="88">
        <v>11.71</v>
      </c>
      <c r="R65" s="88">
        <v>11.73</v>
      </c>
      <c r="S65" s="88">
        <v>12.06</v>
      </c>
      <c r="T65" s="88">
        <v>0</v>
      </c>
      <c r="U65" s="28">
        <f t="shared" si="10"/>
        <v>68.44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140810</v>
      </c>
      <c r="C66" s="28">
        <v>710.57</v>
      </c>
      <c r="D66" s="81">
        <v>204.38</v>
      </c>
      <c r="E66" s="82">
        <v>115.66</v>
      </c>
      <c r="F66" s="82">
        <v>0</v>
      </c>
      <c r="G66" s="82">
        <v>130</v>
      </c>
      <c r="H66" s="91">
        <f t="shared" si="7"/>
        <v>-11.030769230769234</v>
      </c>
      <c r="I66" s="85"/>
      <c r="J66" s="85" t="s">
        <v>91</v>
      </c>
      <c r="K66" s="86">
        <f t="shared" si="8"/>
        <v>12030.155421061734</v>
      </c>
      <c r="L66" s="87">
        <f t="shared" si="9"/>
        <v>-14.340000000000003</v>
      </c>
      <c r="M66" s="88">
        <v>6.27</v>
      </c>
      <c r="N66" s="88">
        <v>11.29</v>
      </c>
      <c r="O66" s="88">
        <v>17.21</v>
      </c>
      <c r="P66" s="88">
        <v>0</v>
      </c>
      <c r="Q66" s="88">
        <v>11.67</v>
      </c>
      <c r="R66" s="88">
        <v>11.64</v>
      </c>
      <c r="S66" s="88">
        <v>12.24</v>
      </c>
      <c r="T66" s="88">
        <v>0</v>
      </c>
      <c r="U66" s="28">
        <f t="shared" si="10"/>
        <v>70.319999999999993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147000</v>
      </c>
      <c r="C67" s="28">
        <v>246.42</v>
      </c>
      <c r="D67" s="81">
        <v>803.28</v>
      </c>
      <c r="E67" s="82">
        <v>121.68</v>
      </c>
      <c r="F67" s="82">
        <v>0</v>
      </c>
      <c r="G67" s="82">
        <v>130</v>
      </c>
      <c r="H67" s="91">
        <f t="shared" si="7"/>
        <v>-6.399999999999995</v>
      </c>
      <c r="I67" s="85"/>
      <c r="J67" s="85" t="s">
        <v>91</v>
      </c>
      <c r="K67" s="86">
        <f t="shared" si="8"/>
        <v>11064.216568047337</v>
      </c>
      <c r="L67" s="87">
        <f t="shared" si="9"/>
        <v>-8.3199999999999932</v>
      </c>
      <c r="M67" s="88">
        <v>5.41</v>
      </c>
      <c r="N67" s="88">
        <v>10.79</v>
      </c>
      <c r="O67" s="88">
        <v>16.14</v>
      </c>
      <c r="P67" s="88">
        <v>0</v>
      </c>
      <c r="Q67" s="88">
        <v>11.81</v>
      </c>
      <c r="R67" s="88">
        <v>11.74</v>
      </c>
      <c r="S67" s="88">
        <v>12.15</v>
      </c>
      <c r="T67" s="88">
        <v>0</v>
      </c>
      <c r="U67" s="28">
        <f t="shared" si="10"/>
        <v>68.040000000000006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148660</v>
      </c>
      <c r="C68" s="28">
        <v>72.73</v>
      </c>
      <c r="D68" s="81">
        <v>897.98</v>
      </c>
      <c r="E68" s="82">
        <v>124.12</v>
      </c>
      <c r="F68" s="82">
        <v>0</v>
      </c>
      <c r="G68" s="82">
        <v>130</v>
      </c>
      <c r="H68" s="91">
        <f t="shared" si="7"/>
        <v>-4.5230769230769194</v>
      </c>
      <c r="I68" s="85"/>
      <c r="J68" s="85"/>
      <c r="K68" s="86">
        <f t="shared" si="8"/>
        <v>11090.619368353211</v>
      </c>
      <c r="L68" s="87" t="str">
        <f t="shared" si="9"/>
        <v/>
      </c>
      <c r="M68" s="88">
        <v>5.41</v>
      </c>
      <c r="N68" s="88">
        <v>10.86</v>
      </c>
      <c r="O68" s="88">
        <v>16.8</v>
      </c>
      <c r="P68" s="92">
        <v>0</v>
      </c>
      <c r="Q68" s="88">
        <v>11.85</v>
      </c>
      <c r="R68" s="88">
        <v>11.6</v>
      </c>
      <c r="S68" s="88">
        <v>11.9</v>
      </c>
      <c r="T68" s="88">
        <v>1.1499999999999999</v>
      </c>
      <c r="U68" s="28">
        <f t="shared" si="10"/>
        <v>69.570000000000007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148200</v>
      </c>
      <c r="C69" s="28">
        <v>6.66</v>
      </c>
      <c r="D69" s="81">
        <v>1616.73</v>
      </c>
      <c r="E69" s="82">
        <v>122.67</v>
      </c>
      <c r="F69" s="82">
        <v>0</v>
      </c>
      <c r="G69" s="82">
        <v>130</v>
      </c>
      <c r="H69" s="91">
        <f t="shared" si="7"/>
        <v>-5.6384615384615371</v>
      </c>
      <c r="I69" s="85"/>
      <c r="J69" s="85" t="s">
        <v>91</v>
      </c>
      <c r="K69" s="86">
        <f t="shared" si="8"/>
        <v>11657.226999266324</v>
      </c>
      <c r="L69" s="87">
        <f t="shared" si="9"/>
        <v>-7.3299999999999983</v>
      </c>
      <c r="M69" s="88">
        <v>5.37</v>
      </c>
      <c r="N69" s="88">
        <v>10.77</v>
      </c>
      <c r="O69" s="88">
        <v>16.82</v>
      </c>
      <c r="P69" s="92">
        <v>0</v>
      </c>
      <c r="Q69" s="88">
        <v>11.82</v>
      </c>
      <c r="R69" s="88">
        <v>11.38</v>
      </c>
      <c r="S69" s="88">
        <v>11.78</v>
      </c>
      <c r="T69" s="88">
        <v>4.33</v>
      </c>
      <c r="U69" s="28">
        <f t="shared" si="10"/>
        <v>72.27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151290</v>
      </c>
      <c r="C70" s="28">
        <v>0</v>
      </c>
      <c r="D70" s="81">
        <v>3047.25</v>
      </c>
      <c r="E70" s="82">
        <v>125.95</v>
      </c>
      <c r="F70" s="82">
        <v>0</v>
      </c>
      <c r="G70" s="82">
        <v>130</v>
      </c>
      <c r="H70" s="91">
        <f t="shared" si="7"/>
        <v>-3.1153846153846132</v>
      </c>
      <c r="I70" s="85"/>
      <c r="J70" s="85"/>
      <c r="K70" s="86">
        <f t="shared" si="8"/>
        <v>11482.470917030565</v>
      </c>
      <c r="L70" s="87" t="str">
        <f t="shared" si="9"/>
        <v/>
      </c>
      <c r="M70" s="88">
        <v>5.38</v>
      </c>
      <c r="N70" s="88">
        <v>10.79</v>
      </c>
      <c r="O70" s="88">
        <v>17.04</v>
      </c>
      <c r="P70" s="92">
        <v>0</v>
      </c>
      <c r="Q70" s="88">
        <v>11.59</v>
      </c>
      <c r="R70" s="88">
        <v>10.93</v>
      </c>
      <c r="S70" s="88">
        <v>11.26</v>
      </c>
      <c r="T70" s="88">
        <v>6.1</v>
      </c>
      <c r="U70" s="28">
        <f t="shared" si="10"/>
        <v>73.089999999999989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151910</v>
      </c>
      <c r="C71" s="28">
        <v>434.04</v>
      </c>
      <c r="D71" s="81">
        <v>1214.8399999999999</v>
      </c>
      <c r="E71" s="82">
        <v>127.49</v>
      </c>
      <c r="F71" s="82">
        <v>0</v>
      </c>
      <c r="G71" s="82">
        <v>130</v>
      </c>
      <c r="H71" s="91">
        <f t="shared" si="7"/>
        <v>-1.9307692307692348</v>
      </c>
      <c r="I71" s="85"/>
      <c r="J71" s="85"/>
      <c r="K71" s="86">
        <f t="shared" si="8"/>
        <v>11261.512338222605</v>
      </c>
      <c r="L71" s="87" t="str">
        <f t="shared" si="9"/>
        <v/>
      </c>
      <c r="M71" s="88">
        <v>5.38</v>
      </c>
      <c r="N71" s="88">
        <v>10.78</v>
      </c>
      <c r="O71" s="88">
        <v>17.420000000000002</v>
      </c>
      <c r="P71" s="92">
        <v>0</v>
      </c>
      <c r="Q71" s="88">
        <v>11.27</v>
      </c>
      <c r="R71" s="88">
        <v>10.57</v>
      </c>
      <c r="S71" s="88">
        <v>10.53</v>
      </c>
      <c r="T71" s="88">
        <v>6.61</v>
      </c>
      <c r="U71" s="28">
        <f t="shared" si="10"/>
        <v>72.559999999999988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152070</v>
      </c>
      <c r="C72" s="28">
        <v>525.57000000000005</v>
      </c>
      <c r="D72" s="81">
        <v>1952.49</v>
      </c>
      <c r="E72" s="82">
        <v>127.22</v>
      </c>
      <c r="F72" s="82">
        <v>0</v>
      </c>
      <c r="G72" s="82">
        <v>130</v>
      </c>
      <c r="H72" s="91">
        <f t="shared" si="7"/>
        <v>-2.1384615384615393</v>
      </c>
      <c r="I72" s="85"/>
      <c r="J72" s="85"/>
      <c r="K72" s="86">
        <f t="shared" si="8"/>
        <v>11630.694104700518</v>
      </c>
      <c r="L72" s="87" t="str">
        <f t="shared" si="9"/>
        <v/>
      </c>
      <c r="M72" s="88">
        <v>5.39</v>
      </c>
      <c r="N72" s="88">
        <v>10.92</v>
      </c>
      <c r="O72" s="88">
        <v>17.41</v>
      </c>
      <c r="P72" s="92">
        <v>0.56000000000000005</v>
      </c>
      <c r="Q72" s="88">
        <v>11.03</v>
      </c>
      <c r="R72" s="88">
        <v>10.57</v>
      </c>
      <c r="S72" s="88">
        <v>10.34</v>
      </c>
      <c r="T72" s="88">
        <v>8.56</v>
      </c>
      <c r="U72" s="28">
        <f t="shared" si="10"/>
        <v>74.78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156280</v>
      </c>
      <c r="C73" s="28">
        <v>0</v>
      </c>
      <c r="D73" s="81">
        <v>8889.56</v>
      </c>
      <c r="E73" s="82">
        <v>130.80000000000001</v>
      </c>
      <c r="F73" s="82">
        <v>0</v>
      </c>
      <c r="G73" s="82">
        <v>130</v>
      </c>
      <c r="H73" s="91">
        <f t="shared" si="7"/>
        <v>0.61538461538462408</v>
      </c>
      <c r="I73" s="85"/>
      <c r="J73" s="85"/>
      <c r="K73" s="86">
        <f t="shared" si="8"/>
        <v>11673.909449541285</v>
      </c>
      <c r="L73" s="87" t="str">
        <f t="shared" si="9"/>
        <v/>
      </c>
      <c r="M73" s="88">
        <v>5.7</v>
      </c>
      <c r="N73" s="88">
        <v>11.62</v>
      </c>
      <c r="O73" s="88">
        <v>17.52</v>
      </c>
      <c r="P73" s="88">
        <v>1.1299999999999999</v>
      </c>
      <c r="Q73" s="88">
        <v>11.12</v>
      </c>
      <c r="R73" s="88">
        <v>10.27</v>
      </c>
      <c r="S73" s="88">
        <v>10.33</v>
      </c>
      <c r="T73" s="88">
        <v>9.48</v>
      </c>
      <c r="U73" s="28">
        <f t="shared" si="10"/>
        <v>77.17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166270</v>
      </c>
      <c r="C74" s="28">
        <v>0</v>
      </c>
      <c r="D74" s="81">
        <v>8905.48</v>
      </c>
      <c r="E74" s="82">
        <v>139.01</v>
      </c>
      <c r="F74" s="82">
        <v>0</v>
      </c>
      <c r="G74" s="82">
        <v>144</v>
      </c>
      <c r="H74" s="91">
        <f t="shared" si="7"/>
        <v>-3.4652777777777839</v>
      </c>
      <c r="I74" s="85"/>
      <c r="J74" s="85"/>
      <c r="K74" s="86">
        <f t="shared" si="8"/>
        <v>12127.439464786708</v>
      </c>
      <c r="L74" s="87" t="str">
        <f t="shared" si="9"/>
        <v/>
      </c>
      <c r="M74" s="88">
        <v>6.81</v>
      </c>
      <c r="N74" s="88">
        <v>13.68</v>
      </c>
      <c r="O74" s="88">
        <v>17.77</v>
      </c>
      <c r="P74" s="88">
        <v>5.58</v>
      </c>
      <c r="Q74" s="88">
        <v>11.04</v>
      </c>
      <c r="R74" s="88">
        <v>10.17</v>
      </c>
      <c r="S74" s="88">
        <v>10.39</v>
      </c>
      <c r="T74" s="88">
        <v>9.76</v>
      </c>
      <c r="U74" s="28">
        <f t="shared" si="10"/>
        <v>85.2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192140</v>
      </c>
      <c r="C75" s="28">
        <v>0</v>
      </c>
      <c r="D75" s="81">
        <v>11010.39</v>
      </c>
      <c r="E75" s="82">
        <v>160.5</v>
      </c>
      <c r="F75" s="82">
        <v>0</v>
      </c>
      <c r="G75" s="82">
        <v>194</v>
      </c>
      <c r="H75" s="91">
        <f t="shared" si="7"/>
        <v>-17.268041237113401</v>
      </c>
      <c r="I75" s="85"/>
      <c r="J75" s="85" t="s">
        <v>91</v>
      </c>
      <c r="K75" s="86">
        <f t="shared" si="8"/>
        <v>11376.485383177571</v>
      </c>
      <c r="L75" s="87">
        <f t="shared" si="9"/>
        <v>-33.5</v>
      </c>
      <c r="M75" s="88">
        <v>6.98</v>
      </c>
      <c r="N75" s="88">
        <v>13.97</v>
      </c>
      <c r="O75" s="88">
        <v>17.78</v>
      </c>
      <c r="P75" s="88">
        <v>9.36</v>
      </c>
      <c r="Q75" s="88">
        <v>11.96</v>
      </c>
      <c r="R75" s="88">
        <v>10.42</v>
      </c>
      <c r="S75" s="88">
        <v>11.24</v>
      </c>
      <c r="T75" s="88">
        <v>10.57</v>
      </c>
      <c r="U75" s="28">
        <f t="shared" si="10"/>
        <v>92.28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206380</v>
      </c>
      <c r="C76" s="28">
        <v>0</v>
      </c>
      <c r="D76" s="81">
        <v>11179.05</v>
      </c>
      <c r="E76" s="82">
        <v>175.89</v>
      </c>
      <c r="F76" s="82">
        <v>0</v>
      </c>
      <c r="G76" s="82">
        <v>244</v>
      </c>
      <c r="H76" s="91">
        <f t="shared" si="7"/>
        <v>-27.913934426229517</v>
      </c>
      <c r="I76" s="85"/>
      <c r="J76" s="85" t="s">
        <v>91</v>
      </c>
      <c r="K76" s="86">
        <f t="shared" si="8"/>
        <v>10692.679174484052</v>
      </c>
      <c r="L76" s="87">
        <f t="shared" si="9"/>
        <v>-68.110000000000014</v>
      </c>
      <c r="M76" s="88">
        <v>7.01</v>
      </c>
      <c r="N76" s="88">
        <v>13.99</v>
      </c>
      <c r="O76" s="88">
        <v>17.82</v>
      </c>
      <c r="P76" s="88">
        <v>10.5</v>
      </c>
      <c r="Q76" s="88">
        <v>12.48</v>
      </c>
      <c r="R76" s="88">
        <v>10.43</v>
      </c>
      <c r="S76" s="88">
        <v>11.72</v>
      </c>
      <c r="T76" s="88">
        <v>11.1</v>
      </c>
      <c r="U76" s="28">
        <f t="shared" si="10"/>
        <v>95.049999999999983</v>
      </c>
      <c r="V76" s="81">
        <v>2.2666666666666671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210340</v>
      </c>
      <c r="C77" s="28">
        <v>0</v>
      </c>
      <c r="D77" s="81">
        <v>12022.47</v>
      </c>
      <c r="E77" s="82">
        <v>179.13</v>
      </c>
      <c r="F77" s="82">
        <v>0</v>
      </c>
      <c r="G77" s="82">
        <v>207</v>
      </c>
      <c r="H77" s="91">
        <f t="shared" si="7"/>
        <v>-13.463768115942031</v>
      </c>
      <c r="I77" s="85"/>
      <c r="J77" s="85" t="s">
        <v>91</v>
      </c>
      <c r="K77" s="86">
        <f t="shared" si="8"/>
        <v>10648.397923295932</v>
      </c>
      <c r="L77" s="87">
        <f t="shared" si="9"/>
        <v>-27.870000000000005</v>
      </c>
      <c r="M77" s="88">
        <v>7.21</v>
      </c>
      <c r="N77" s="88">
        <v>14.18</v>
      </c>
      <c r="O77" s="88">
        <v>18</v>
      </c>
      <c r="P77" s="88">
        <v>10.59</v>
      </c>
      <c r="Q77" s="88">
        <v>12.71</v>
      </c>
      <c r="R77" s="88">
        <v>10.41</v>
      </c>
      <c r="S77" s="88">
        <v>11.97</v>
      </c>
      <c r="T77" s="88">
        <v>11.33</v>
      </c>
      <c r="U77" s="28">
        <f t="shared" si="10"/>
        <v>96.4</v>
      </c>
      <c r="V77" s="81">
        <v>2.2666666666666671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151400</v>
      </c>
      <c r="C78" s="28">
        <v>1431.79</v>
      </c>
      <c r="D78" s="81">
        <v>4664.41</v>
      </c>
      <c r="E78" s="82">
        <v>133.43</v>
      </c>
      <c r="F78" s="82">
        <v>0</v>
      </c>
      <c r="G78" s="82">
        <v>219</v>
      </c>
      <c r="H78" s="91">
        <f t="shared" si="7"/>
        <v>-39.073059360730596</v>
      </c>
      <c r="I78" s="85"/>
      <c r="J78" s="85" t="s">
        <v>91</v>
      </c>
      <c r="K78" s="86">
        <f t="shared" si="8"/>
        <v>10964.820445177249</v>
      </c>
      <c r="L78" s="87">
        <f t="shared" si="9"/>
        <v>-85.57</v>
      </c>
      <c r="M78" s="88">
        <v>4.07</v>
      </c>
      <c r="N78" s="88">
        <v>10.92</v>
      </c>
      <c r="O78" s="88">
        <v>14.94</v>
      </c>
      <c r="P78" s="88">
        <v>8.01</v>
      </c>
      <c r="Q78" s="88">
        <v>9.14</v>
      </c>
      <c r="R78" s="88">
        <v>10.38</v>
      </c>
      <c r="S78" s="88">
        <v>8.4700000000000006</v>
      </c>
      <c r="T78" s="88">
        <v>8.01</v>
      </c>
      <c r="U78" s="28">
        <f t="shared" si="10"/>
        <v>73.940000000000012</v>
      </c>
      <c r="V78" s="81">
        <v>2.2666666666666671</v>
      </c>
      <c r="W78" s="81">
        <v>0</v>
      </c>
      <c r="X78" s="89"/>
      <c r="Y78"/>
    </row>
    <row r="79" spans="1:25" ht="16.5" x14ac:dyDescent="0.3">
      <c r="A79" s="90">
        <v>22</v>
      </c>
      <c r="B79" s="28">
        <v>77090</v>
      </c>
      <c r="C79" s="28">
        <v>8328.7999999999993</v>
      </c>
      <c r="D79" s="81">
        <v>0</v>
      </c>
      <c r="E79" s="82">
        <v>58.99</v>
      </c>
      <c r="F79" s="82">
        <v>0</v>
      </c>
      <c r="G79" s="82">
        <v>169</v>
      </c>
      <c r="H79" s="91">
        <f t="shared" si="7"/>
        <v>-65.094674556213022</v>
      </c>
      <c r="I79" s="85"/>
      <c r="J79" s="85" t="s">
        <v>94</v>
      </c>
      <c r="K79" s="86">
        <f t="shared" si="8"/>
        <v>17505.900864553314</v>
      </c>
      <c r="L79" s="87">
        <f t="shared" si="9"/>
        <v>-110.00999999999999</v>
      </c>
      <c r="M79" s="88">
        <v>6.7</v>
      </c>
      <c r="N79" s="88">
        <v>6.38</v>
      </c>
      <c r="O79" s="88">
        <v>6.96</v>
      </c>
      <c r="P79" s="88">
        <v>6.07</v>
      </c>
      <c r="Q79" s="88">
        <v>6.13</v>
      </c>
      <c r="R79" s="88">
        <v>6.55</v>
      </c>
      <c r="S79" s="88">
        <v>6.14</v>
      </c>
      <c r="T79" s="88">
        <v>7.26</v>
      </c>
      <c r="U79" s="28">
        <f t="shared" si="10"/>
        <v>52.19</v>
      </c>
      <c r="V79" s="81">
        <v>2.2666666666666671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4433.74</v>
      </c>
      <c r="D80" s="81">
        <v>620.16999999999996</v>
      </c>
      <c r="E80" s="82">
        <v>40.03</v>
      </c>
      <c r="F80" s="82">
        <v>6222.82</v>
      </c>
      <c r="G80" s="82">
        <v>130</v>
      </c>
      <c r="H80" s="91">
        <f t="shared" si="7"/>
        <v>-69.207692307692312</v>
      </c>
      <c r="I80" s="85"/>
      <c r="J80" s="85" t="s">
        <v>91</v>
      </c>
      <c r="K80" s="86">
        <f t="shared" si="8"/>
        <v>0</v>
      </c>
      <c r="L80" s="87">
        <f t="shared" si="9"/>
        <v>-89.97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0"/>
        <v>0</v>
      </c>
      <c r="V80" s="81">
        <v>2.2666666666666671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0</v>
      </c>
      <c r="D81" s="28">
        <v>2432.8200000000002</v>
      </c>
      <c r="E81" s="96">
        <v>0</v>
      </c>
      <c r="F81" s="97">
        <v>14364.52</v>
      </c>
      <c r="G81" s="82">
        <v>130</v>
      </c>
      <c r="H81" s="98">
        <f t="shared" si="7"/>
        <v>-100</v>
      </c>
      <c r="I81" s="115"/>
      <c r="J81" s="85" t="s">
        <v>91</v>
      </c>
      <c r="K81" s="99" t="str">
        <f t="shared" si="8"/>
        <v/>
      </c>
      <c r="L81" s="87">
        <f t="shared" si="9"/>
        <v>-130</v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0"/>
        <v>0</v>
      </c>
      <c r="V81" s="81">
        <v>2.2666666666666671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1">SUM(B58:B81)</f>
        <v>3071280</v>
      </c>
      <c r="C82" s="35">
        <f t="shared" si="11"/>
        <v>66598.31</v>
      </c>
      <c r="D82" s="35">
        <f t="shared" si="11"/>
        <v>69473.580000000016</v>
      </c>
      <c r="E82" s="35">
        <f t="shared" si="11"/>
        <v>2567.8000000000002</v>
      </c>
      <c r="F82" s="101">
        <f t="shared" si="11"/>
        <v>20587.34</v>
      </c>
      <c r="G82" s="35">
        <f t="shared" si="11"/>
        <v>3524</v>
      </c>
      <c r="H82" s="102"/>
      <c r="I82" s="103"/>
      <c r="J82" s="104"/>
      <c r="K82" s="105">
        <f>IFERROR(AVERAGE(K58:K81),"")</f>
        <v>12410.58942446288</v>
      </c>
      <c r="L82" s="40">
        <f t="shared" ref="L82:U82" si="12">SUM(L58:L81)</f>
        <v>-936.79</v>
      </c>
      <c r="M82" s="40">
        <f t="shared" si="12"/>
        <v>137.5</v>
      </c>
      <c r="N82" s="39">
        <f t="shared" si="12"/>
        <v>244.07999999999998</v>
      </c>
      <c r="O82" s="39">
        <f t="shared" si="12"/>
        <v>343.38999999999993</v>
      </c>
      <c r="P82" s="39">
        <f t="shared" si="12"/>
        <v>51.8</v>
      </c>
      <c r="Q82" s="39">
        <f t="shared" si="12"/>
        <v>243.97000000000003</v>
      </c>
      <c r="R82" s="39">
        <f t="shared" si="12"/>
        <v>222.49999999999997</v>
      </c>
      <c r="S82" s="39">
        <f t="shared" si="12"/>
        <v>229.16</v>
      </c>
      <c r="T82" s="39">
        <f t="shared" si="12"/>
        <v>113.61</v>
      </c>
      <c r="U82" s="39">
        <f t="shared" si="12"/>
        <v>1586.0100000000002</v>
      </c>
      <c r="V82" s="39">
        <f>+SUM(V58:V81)</f>
        <v>13.600000000000003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20587.34</v>
      </c>
      <c r="J87" s="41"/>
      <c r="K87" s="62" t="s">
        <v>59</v>
      </c>
      <c r="L87" s="113">
        <v>19297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0.94027777777777777</v>
      </c>
      <c r="B88" s="57">
        <v>0</v>
      </c>
      <c r="C88" s="57">
        <v>5.9722222222222225E-2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16485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>
        <f>IFERROR(3412.14/K82,"")</f>
        <v>0.27493778766657367</v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A1:C1"/>
    <mergeCell ref="D1:U2"/>
    <mergeCell ref="V1:X4"/>
    <mergeCell ref="A2:C2"/>
    <mergeCell ref="A3:C3"/>
    <mergeCell ref="D3:U4"/>
    <mergeCell ref="A4:C4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39:A40"/>
    <mergeCell ref="B39:B40"/>
    <mergeCell ref="C39:C40"/>
    <mergeCell ref="D39:D40"/>
    <mergeCell ref="H39:I40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H41:H42"/>
    <mergeCell ref="I41:I42"/>
    <mergeCell ref="K44:L44"/>
    <mergeCell ref="C45:I46"/>
    <mergeCell ref="K45:L45"/>
    <mergeCell ref="K46:L4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A85:A86"/>
    <mergeCell ref="B85:B86"/>
    <mergeCell ref="C85:C86"/>
    <mergeCell ref="D85:D86"/>
    <mergeCell ref="H85:I86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K90:L90"/>
    <mergeCell ref="B91:B92"/>
    <mergeCell ref="C91:I92"/>
    <mergeCell ref="K91:L91"/>
    <mergeCell ref="K92:L9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A4A3-9174-4B0F-900E-A029FE2C669E}">
  <dimension ref="A1:Z109"/>
  <sheetViews>
    <sheetView topLeftCell="A55" zoomScale="85" zoomScaleNormal="85" workbookViewId="0">
      <selection activeCell="B6" sqref="B6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10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77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177230</v>
      </c>
      <c r="C12" s="28">
        <v>0</v>
      </c>
      <c r="D12" s="28">
        <v>14468.14</v>
      </c>
      <c r="E12" s="28">
        <v>79.31</v>
      </c>
      <c r="F12" s="28">
        <v>80</v>
      </c>
      <c r="G12" s="28">
        <f t="shared" ref="G12:G35" si="0">+E12+F12</f>
        <v>159.31</v>
      </c>
      <c r="H12" s="28">
        <v>0</v>
      </c>
      <c r="I12" s="28">
        <v>0</v>
      </c>
      <c r="J12" s="112">
        <v>90</v>
      </c>
      <c r="K12" s="28">
        <f t="shared" ref="K12:K35" si="1">IF(J12=0,0,100*(G12-J12)/J12)</f>
        <v>77.011111111111106</v>
      </c>
      <c r="L12" s="28" t="s">
        <v>93</v>
      </c>
      <c r="M12" s="28" t="s">
        <v>90</v>
      </c>
      <c r="N12" s="28">
        <f t="shared" ref="N12:N35" si="2">IFERROR(V12*1000*2.2*$K$46/G12/1000,"")</f>
        <v>9384.3101123595516</v>
      </c>
      <c r="O12" s="28">
        <f t="shared" ref="O12:O35" si="3">IF(OR(K12&gt;5,K12&lt;-5),G12-J12,"")</f>
        <v>69.31</v>
      </c>
      <c r="P12" s="28">
        <v>8.9</v>
      </c>
      <c r="Q12" s="28">
        <v>15.67</v>
      </c>
      <c r="R12" s="28">
        <v>16.170000000000002</v>
      </c>
      <c r="S12" s="28">
        <v>16.68</v>
      </c>
      <c r="T12" s="28">
        <v>16.68</v>
      </c>
      <c r="U12" s="28">
        <v>8.43</v>
      </c>
      <c r="V12" s="28">
        <f t="shared" ref="V12:V35" si="4">+SUM(P12:U12)</f>
        <v>82.53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177130</v>
      </c>
      <c r="C13" s="28">
        <v>0</v>
      </c>
      <c r="D13" s="28">
        <v>13432.07</v>
      </c>
      <c r="E13" s="28">
        <v>79.27</v>
      </c>
      <c r="F13" s="28">
        <v>79.97</v>
      </c>
      <c r="G13" s="28">
        <f t="shared" si="0"/>
        <v>159.24</v>
      </c>
      <c r="H13" s="28">
        <v>0</v>
      </c>
      <c r="I13" s="28">
        <v>0</v>
      </c>
      <c r="J13" s="112">
        <v>115</v>
      </c>
      <c r="K13" s="28">
        <f t="shared" si="1"/>
        <v>38.469565217391313</v>
      </c>
      <c r="L13" s="28" t="s">
        <v>93</v>
      </c>
      <c r="M13" s="28" t="s">
        <v>90</v>
      </c>
      <c r="N13" s="28">
        <f t="shared" si="2"/>
        <v>9328.1436824918364</v>
      </c>
      <c r="O13" s="28">
        <f t="shared" si="3"/>
        <v>44.240000000000009</v>
      </c>
      <c r="P13" s="28">
        <v>9.01</v>
      </c>
      <c r="Q13" s="28">
        <v>15.6</v>
      </c>
      <c r="R13" s="28">
        <v>16.100000000000001</v>
      </c>
      <c r="S13" s="28">
        <v>16.61</v>
      </c>
      <c r="T13" s="28">
        <v>16.600000000000001</v>
      </c>
      <c r="U13" s="28">
        <v>8.08</v>
      </c>
      <c r="V13" s="28">
        <f t="shared" si="4"/>
        <v>82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177430</v>
      </c>
      <c r="C14" s="28">
        <v>0</v>
      </c>
      <c r="D14" s="28">
        <v>14138.86</v>
      </c>
      <c r="E14" s="28">
        <v>79.5</v>
      </c>
      <c r="F14" s="28">
        <v>80.2</v>
      </c>
      <c r="G14" s="28">
        <f t="shared" si="0"/>
        <v>159.69999999999999</v>
      </c>
      <c r="H14" s="28">
        <v>0</v>
      </c>
      <c r="I14" s="28">
        <v>0</v>
      </c>
      <c r="J14" s="112">
        <v>134</v>
      </c>
      <c r="K14" s="28">
        <f t="shared" si="1"/>
        <v>19.179104477611933</v>
      </c>
      <c r="L14" s="28" t="s">
        <v>93</v>
      </c>
      <c r="M14" s="28" t="s">
        <v>90</v>
      </c>
      <c r="N14" s="28">
        <f t="shared" si="2"/>
        <v>9301.2748904195396</v>
      </c>
      <c r="O14" s="28">
        <f t="shared" si="3"/>
        <v>25.699999999999989</v>
      </c>
      <c r="P14" s="28">
        <v>9.18</v>
      </c>
      <c r="Q14" s="28">
        <v>15.61</v>
      </c>
      <c r="R14" s="28">
        <v>16.11</v>
      </c>
      <c r="S14" s="28">
        <v>16.600000000000001</v>
      </c>
      <c r="T14" s="28">
        <v>16.600000000000001</v>
      </c>
      <c r="U14" s="28">
        <v>7.9</v>
      </c>
      <c r="V14" s="28">
        <f t="shared" si="4"/>
        <v>82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176830</v>
      </c>
      <c r="C15" s="28">
        <v>0</v>
      </c>
      <c r="D15" s="28">
        <v>15910.79</v>
      </c>
      <c r="E15" s="28">
        <v>79.180000000000007</v>
      </c>
      <c r="F15" s="28">
        <v>79.87</v>
      </c>
      <c r="G15" s="28">
        <f t="shared" si="0"/>
        <v>159.05000000000001</v>
      </c>
      <c r="H15" s="28">
        <v>0</v>
      </c>
      <c r="I15" s="28">
        <v>0</v>
      </c>
      <c r="J15" s="112">
        <v>119</v>
      </c>
      <c r="K15" s="28">
        <f t="shared" si="1"/>
        <v>33.655462184873954</v>
      </c>
      <c r="L15" s="28" t="s">
        <v>93</v>
      </c>
      <c r="M15" s="28" t="s">
        <v>90</v>
      </c>
      <c r="N15" s="28">
        <f t="shared" si="2"/>
        <v>9351.8153285130466</v>
      </c>
      <c r="O15" s="28">
        <f t="shared" si="3"/>
        <v>40.050000000000011</v>
      </c>
      <c r="P15" s="28">
        <v>9.17</v>
      </c>
      <c r="Q15" s="28">
        <v>15.61</v>
      </c>
      <c r="R15" s="28">
        <v>16.100000000000001</v>
      </c>
      <c r="S15" s="28">
        <v>16.61</v>
      </c>
      <c r="T15" s="28">
        <v>16.600000000000001</v>
      </c>
      <c r="U15" s="28">
        <v>8.02</v>
      </c>
      <c r="V15" s="28">
        <f t="shared" si="4"/>
        <v>82.11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177910</v>
      </c>
      <c r="C16" s="28">
        <v>0</v>
      </c>
      <c r="D16" s="28">
        <v>16694.16</v>
      </c>
      <c r="E16" s="28">
        <v>79.680000000000007</v>
      </c>
      <c r="F16" s="28">
        <v>80.37</v>
      </c>
      <c r="G16" s="28">
        <f t="shared" si="0"/>
        <v>160.05000000000001</v>
      </c>
      <c r="H16" s="28">
        <v>0</v>
      </c>
      <c r="I16" s="28">
        <v>0</v>
      </c>
      <c r="J16" s="112">
        <v>90</v>
      </c>
      <c r="K16" s="28">
        <f t="shared" si="1"/>
        <v>77.833333333333343</v>
      </c>
      <c r="L16" s="28" t="s">
        <v>93</v>
      </c>
      <c r="M16" s="28" t="s">
        <v>90</v>
      </c>
      <c r="N16" s="28">
        <f t="shared" si="2"/>
        <v>9312.6257044673548</v>
      </c>
      <c r="O16" s="28">
        <f t="shared" si="3"/>
        <v>70.050000000000011</v>
      </c>
      <c r="P16" s="28">
        <v>9.09</v>
      </c>
      <c r="Q16" s="28">
        <v>15.61</v>
      </c>
      <c r="R16" s="28">
        <v>16.100000000000001</v>
      </c>
      <c r="S16" s="28">
        <v>16.600000000000001</v>
      </c>
      <c r="T16" s="28">
        <v>16.600000000000001</v>
      </c>
      <c r="U16" s="28">
        <v>8.2799999999999994</v>
      </c>
      <c r="V16" s="28">
        <f t="shared" si="4"/>
        <v>82.28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160190</v>
      </c>
      <c r="C17" s="28">
        <v>0</v>
      </c>
      <c r="D17" s="28">
        <v>16615.38</v>
      </c>
      <c r="E17" s="28">
        <v>71.48</v>
      </c>
      <c r="F17" s="28">
        <v>72.099999999999994</v>
      </c>
      <c r="G17" s="28">
        <f t="shared" si="0"/>
        <v>143.57999999999998</v>
      </c>
      <c r="H17" s="28">
        <v>0</v>
      </c>
      <c r="I17" s="28">
        <v>0</v>
      </c>
      <c r="J17" s="112">
        <v>90</v>
      </c>
      <c r="K17" s="28">
        <f t="shared" si="1"/>
        <v>59.53333333333331</v>
      </c>
      <c r="L17" s="28" t="s">
        <v>93</v>
      </c>
      <c r="M17" s="28" t="s">
        <v>90</v>
      </c>
      <c r="N17" s="28">
        <f t="shared" si="2"/>
        <v>9250.4327622231522</v>
      </c>
      <c r="O17" s="28">
        <f t="shared" si="3"/>
        <v>53.579999999999984</v>
      </c>
      <c r="P17" s="28">
        <v>8.91</v>
      </c>
      <c r="Q17" s="28">
        <v>13.5</v>
      </c>
      <c r="R17" s="28">
        <v>13.99</v>
      </c>
      <c r="S17" s="28">
        <v>14.49</v>
      </c>
      <c r="T17" s="28">
        <v>14.49</v>
      </c>
      <c r="U17" s="28">
        <v>7.94</v>
      </c>
      <c r="V17" s="28">
        <f t="shared" si="4"/>
        <v>73.319999999999993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137200</v>
      </c>
      <c r="C18" s="28">
        <v>0</v>
      </c>
      <c r="D18" s="28">
        <v>14926.96</v>
      </c>
      <c r="E18" s="28">
        <v>60.59</v>
      </c>
      <c r="F18" s="28">
        <v>61.12</v>
      </c>
      <c r="G18" s="28">
        <f t="shared" si="0"/>
        <v>121.71000000000001</v>
      </c>
      <c r="H18" s="28">
        <v>0</v>
      </c>
      <c r="I18" s="28">
        <v>0</v>
      </c>
      <c r="J18" s="112">
        <v>90</v>
      </c>
      <c r="K18" s="28">
        <f t="shared" si="1"/>
        <v>35.233333333333341</v>
      </c>
      <c r="L18" s="28" t="s">
        <v>95</v>
      </c>
      <c r="M18" s="28" t="s">
        <v>90</v>
      </c>
      <c r="N18" s="28">
        <f t="shared" si="2"/>
        <v>9744.2770191438685</v>
      </c>
      <c r="O18" s="28">
        <f t="shared" si="3"/>
        <v>31.710000000000008</v>
      </c>
      <c r="P18" s="28">
        <v>8.59</v>
      </c>
      <c r="Q18" s="28">
        <v>11.71</v>
      </c>
      <c r="R18" s="28">
        <v>12.21</v>
      </c>
      <c r="S18" s="28">
        <v>12.71</v>
      </c>
      <c r="T18" s="28">
        <v>12.71</v>
      </c>
      <c r="U18" s="28">
        <v>7.54</v>
      </c>
      <c r="V18" s="28">
        <f t="shared" si="4"/>
        <v>65.470000000000013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112100</v>
      </c>
      <c r="C19" s="28">
        <v>559.1</v>
      </c>
      <c r="D19" s="28">
        <v>7130.12</v>
      </c>
      <c r="E19" s="28">
        <v>48.62</v>
      </c>
      <c r="F19" s="28">
        <v>49.06</v>
      </c>
      <c r="G19" s="28">
        <f t="shared" si="0"/>
        <v>97.68</v>
      </c>
      <c r="H19" s="28">
        <v>0</v>
      </c>
      <c r="I19" s="28">
        <v>0</v>
      </c>
      <c r="J19" s="112">
        <v>90</v>
      </c>
      <c r="K19" s="28">
        <f t="shared" si="1"/>
        <v>8.5333333333333403</v>
      </c>
      <c r="L19" s="28" t="s">
        <v>95</v>
      </c>
      <c r="M19" s="28" t="s">
        <v>90</v>
      </c>
      <c r="N19" s="28">
        <f t="shared" si="2"/>
        <v>10262.827927927929</v>
      </c>
      <c r="O19" s="28">
        <f t="shared" si="3"/>
        <v>7.6800000000000068</v>
      </c>
      <c r="P19" s="28">
        <v>8.48</v>
      </c>
      <c r="Q19" s="28">
        <v>9.26</v>
      </c>
      <c r="R19" s="28">
        <v>9.75</v>
      </c>
      <c r="S19" s="28">
        <v>10.25</v>
      </c>
      <c r="T19" s="28">
        <v>10.24</v>
      </c>
      <c r="U19" s="28">
        <v>7.36</v>
      </c>
      <c r="V19" s="28">
        <f t="shared" si="4"/>
        <v>55.34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106280</v>
      </c>
      <c r="C20" s="28">
        <v>4682.74</v>
      </c>
      <c r="D20" s="28">
        <v>4.33</v>
      </c>
      <c r="E20" s="28">
        <v>45.78</v>
      </c>
      <c r="F20" s="28">
        <v>46.19</v>
      </c>
      <c r="G20" s="28">
        <f t="shared" si="0"/>
        <v>91.97</v>
      </c>
      <c r="H20" s="28">
        <v>0</v>
      </c>
      <c r="I20" s="28">
        <v>0</v>
      </c>
      <c r="J20" s="112">
        <v>90</v>
      </c>
      <c r="K20" s="28">
        <f t="shared" si="1"/>
        <v>2.1888888888888878</v>
      </c>
      <c r="L20" s="28"/>
      <c r="M20" s="28"/>
      <c r="N20" s="28">
        <f t="shared" si="2"/>
        <v>10624.250429487878</v>
      </c>
      <c r="O20" s="28" t="str">
        <f t="shared" si="3"/>
        <v/>
      </c>
      <c r="P20" s="28">
        <v>8.42</v>
      </c>
      <c r="Q20" s="28">
        <v>9.0299999999999994</v>
      </c>
      <c r="R20" s="28">
        <v>9.5299999999999994</v>
      </c>
      <c r="S20" s="28">
        <v>10.029999999999999</v>
      </c>
      <c r="T20" s="28">
        <v>10.039999999999999</v>
      </c>
      <c r="U20" s="28">
        <v>6.89</v>
      </c>
      <c r="V20" s="28">
        <f t="shared" si="4"/>
        <v>53.94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106010</v>
      </c>
      <c r="C21" s="28">
        <v>4911.99</v>
      </c>
      <c r="D21" s="28">
        <v>30.83</v>
      </c>
      <c r="E21" s="28">
        <v>45.62</v>
      </c>
      <c r="F21" s="28">
        <v>46.03</v>
      </c>
      <c r="G21" s="28">
        <f t="shared" si="0"/>
        <v>91.65</v>
      </c>
      <c r="H21" s="28">
        <v>0</v>
      </c>
      <c r="I21" s="28">
        <v>0</v>
      </c>
      <c r="J21" s="112">
        <v>90</v>
      </c>
      <c r="K21" s="28">
        <f t="shared" si="1"/>
        <v>1.8333333333333397</v>
      </c>
      <c r="L21" s="28"/>
      <c r="M21" s="28"/>
      <c r="N21" s="28">
        <f t="shared" si="2"/>
        <v>10669.251543917078</v>
      </c>
      <c r="O21" s="28" t="str">
        <f t="shared" si="3"/>
        <v/>
      </c>
      <c r="P21" s="28">
        <v>8.5299999999999994</v>
      </c>
      <c r="Q21" s="28">
        <v>9.06</v>
      </c>
      <c r="R21" s="28">
        <v>9.5399999999999991</v>
      </c>
      <c r="S21" s="28">
        <v>10.050000000000001</v>
      </c>
      <c r="T21" s="28">
        <v>10.050000000000001</v>
      </c>
      <c r="U21" s="28">
        <v>6.75</v>
      </c>
      <c r="V21" s="28">
        <f t="shared" si="4"/>
        <v>53.980000000000004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105420</v>
      </c>
      <c r="C22" s="28">
        <v>2357.3500000000004</v>
      </c>
      <c r="D22" s="28">
        <v>55.43</v>
      </c>
      <c r="E22" s="28">
        <v>45.37</v>
      </c>
      <c r="F22" s="28">
        <v>45.77</v>
      </c>
      <c r="G22" s="28">
        <f t="shared" si="0"/>
        <v>91.14</v>
      </c>
      <c r="H22" s="28">
        <v>0</v>
      </c>
      <c r="I22" s="28">
        <v>0</v>
      </c>
      <c r="J22" s="112">
        <v>90</v>
      </c>
      <c r="K22" s="28">
        <f t="shared" si="1"/>
        <v>1.2666666666666673</v>
      </c>
      <c r="L22" s="28"/>
      <c r="M22" s="28"/>
      <c r="N22" s="28">
        <f t="shared" si="2"/>
        <v>10697.153127057276</v>
      </c>
      <c r="O22" s="28" t="str">
        <f t="shared" si="3"/>
        <v/>
      </c>
      <c r="P22" s="28">
        <v>8.4499999999999993</v>
      </c>
      <c r="Q22" s="28">
        <v>8.9600000000000009</v>
      </c>
      <c r="R22" s="28">
        <v>9.4700000000000006</v>
      </c>
      <c r="S22" s="28">
        <v>10.050000000000001</v>
      </c>
      <c r="T22" s="28">
        <v>9.9700000000000006</v>
      </c>
      <c r="U22" s="28">
        <v>6.92</v>
      </c>
      <c r="V22" s="28">
        <f t="shared" si="4"/>
        <v>53.820000000000007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105440</v>
      </c>
      <c r="C23" s="28">
        <v>885.41</v>
      </c>
      <c r="D23" s="28">
        <v>461.07000000000005</v>
      </c>
      <c r="E23" s="28">
        <v>45.41</v>
      </c>
      <c r="F23" s="28">
        <v>45.81</v>
      </c>
      <c r="G23" s="28">
        <f t="shared" si="0"/>
        <v>91.22</v>
      </c>
      <c r="H23" s="28">
        <v>0</v>
      </c>
      <c r="I23" s="28">
        <v>0</v>
      </c>
      <c r="J23" s="112">
        <v>90</v>
      </c>
      <c r="K23" s="28">
        <f t="shared" si="1"/>
        <v>1.3555555555555543</v>
      </c>
      <c r="L23" s="28"/>
      <c r="M23" s="28"/>
      <c r="N23" s="28">
        <f t="shared" si="2"/>
        <v>10715.573426880072</v>
      </c>
      <c r="O23" s="28" t="str">
        <f t="shared" si="3"/>
        <v/>
      </c>
      <c r="P23" s="28">
        <v>8.6199999999999992</v>
      </c>
      <c r="Q23" s="28">
        <v>8.93</v>
      </c>
      <c r="R23" s="28">
        <v>9.44</v>
      </c>
      <c r="S23" s="28">
        <v>9.93</v>
      </c>
      <c r="T23" s="28">
        <v>9.93</v>
      </c>
      <c r="U23" s="28">
        <v>7.11</v>
      </c>
      <c r="V23" s="28">
        <f t="shared" si="4"/>
        <v>53.959999999999994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106360</v>
      </c>
      <c r="C24" s="28">
        <v>2772.2</v>
      </c>
      <c r="D24" s="28">
        <v>52.27</v>
      </c>
      <c r="E24" s="28">
        <v>45.88</v>
      </c>
      <c r="F24" s="28">
        <v>46.29</v>
      </c>
      <c r="G24" s="28">
        <f t="shared" si="0"/>
        <v>92.17</v>
      </c>
      <c r="H24" s="28">
        <v>0</v>
      </c>
      <c r="I24" s="28">
        <v>0</v>
      </c>
      <c r="J24" s="112">
        <v>90</v>
      </c>
      <c r="K24" s="28">
        <f t="shared" si="1"/>
        <v>2.4111111111111132</v>
      </c>
      <c r="L24" s="28"/>
      <c r="M24" s="28"/>
      <c r="N24" s="28">
        <f t="shared" si="2"/>
        <v>10636.57346208094</v>
      </c>
      <c r="O24" s="28" t="str">
        <f t="shared" si="3"/>
        <v/>
      </c>
      <c r="P24" s="28">
        <v>8.8699999999999992</v>
      </c>
      <c r="Q24" s="28">
        <v>8.8800000000000008</v>
      </c>
      <c r="R24" s="28">
        <v>9.3699999999999992</v>
      </c>
      <c r="S24" s="28">
        <v>9.8800000000000008</v>
      </c>
      <c r="T24" s="28">
        <v>9.8800000000000008</v>
      </c>
      <c r="U24" s="28">
        <v>7.24</v>
      </c>
      <c r="V24" s="28">
        <f t="shared" si="4"/>
        <v>54.120000000000005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105640</v>
      </c>
      <c r="C25" s="28">
        <v>4608.84</v>
      </c>
      <c r="D25" s="28">
        <v>14.120000000000001</v>
      </c>
      <c r="E25" s="28">
        <v>45.48</v>
      </c>
      <c r="F25" s="28">
        <v>45.9</v>
      </c>
      <c r="G25" s="28">
        <f t="shared" si="0"/>
        <v>91.38</v>
      </c>
      <c r="H25" s="28">
        <v>0</v>
      </c>
      <c r="I25" s="28">
        <v>0</v>
      </c>
      <c r="J25" s="112">
        <v>90</v>
      </c>
      <c r="K25" s="28">
        <f t="shared" si="1"/>
        <v>1.5333333333333283</v>
      </c>
      <c r="L25" s="28"/>
      <c r="M25" s="28"/>
      <c r="N25" s="28">
        <f t="shared" si="2"/>
        <v>10682.934690304226</v>
      </c>
      <c r="O25" s="28" t="str">
        <f t="shared" si="3"/>
        <v/>
      </c>
      <c r="P25" s="28">
        <v>9.06</v>
      </c>
      <c r="Q25" s="28">
        <v>8.77</v>
      </c>
      <c r="R25" s="28">
        <v>9.3000000000000007</v>
      </c>
      <c r="S25" s="28">
        <v>9.8000000000000007</v>
      </c>
      <c r="T25" s="28">
        <v>9.8000000000000007</v>
      </c>
      <c r="U25" s="28">
        <v>7.16</v>
      </c>
      <c r="V25" s="28">
        <f t="shared" si="4"/>
        <v>53.89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105880</v>
      </c>
      <c r="C26" s="28">
        <v>6250.2199999999993</v>
      </c>
      <c r="D26" s="28">
        <v>0.72</v>
      </c>
      <c r="E26" s="28">
        <v>45.58</v>
      </c>
      <c r="F26" s="28">
        <v>45.99</v>
      </c>
      <c r="G26" s="28">
        <f t="shared" si="0"/>
        <v>91.57</v>
      </c>
      <c r="H26" s="28">
        <v>0</v>
      </c>
      <c r="I26" s="28">
        <v>0</v>
      </c>
      <c r="J26" s="112">
        <v>90</v>
      </c>
      <c r="K26" s="28">
        <f t="shared" si="1"/>
        <v>1.7444444444444369</v>
      </c>
      <c r="L26" s="28"/>
      <c r="M26" s="28"/>
      <c r="N26" s="28">
        <f t="shared" si="2"/>
        <v>10700.333427978598</v>
      </c>
      <c r="O26" s="28" t="str">
        <f t="shared" si="3"/>
        <v/>
      </c>
      <c r="P26" s="28">
        <v>9.19</v>
      </c>
      <c r="Q26" s="28">
        <v>8.81</v>
      </c>
      <c r="R26" s="28">
        <v>9.3000000000000007</v>
      </c>
      <c r="S26" s="28">
        <v>9.7899999999999991</v>
      </c>
      <c r="T26" s="28">
        <v>9.8000000000000007</v>
      </c>
      <c r="U26" s="28">
        <v>7.2</v>
      </c>
      <c r="V26" s="28">
        <f t="shared" si="4"/>
        <v>54.09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113170</v>
      </c>
      <c r="C27" s="28">
        <v>1851.9299999999998</v>
      </c>
      <c r="D27" s="28">
        <v>500.86</v>
      </c>
      <c r="E27" s="28">
        <v>49</v>
      </c>
      <c r="F27" s="28">
        <v>49.43</v>
      </c>
      <c r="G27" s="28">
        <f t="shared" si="0"/>
        <v>98.43</v>
      </c>
      <c r="H27" s="28">
        <v>0</v>
      </c>
      <c r="I27" s="28">
        <v>0</v>
      </c>
      <c r="J27" s="112">
        <v>90</v>
      </c>
      <c r="K27" s="28">
        <f t="shared" si="1"/>
        <v>9.3666666666666742</v>
      </c>
      <c r="L27" s="28" t="s">
        <v>79</v>
      </c>
      <c r="M27" s="28" t="s">
        <v>90</v>
      </c>
      <c r="N27" s="28">
        <f t="shared" si="2"/>
        <v>10657.605079752109</v>
      </c>
      <c r="O27" s="28">
        <f t="shared" si="3"/>
        <v>8.4300000000000068</v>
      </c>
      <c r="P27" s="28">
        <v>8.77</v>
      </c>
      <c r="Q27" s="28">
        <v>9.84</v>
      </c>
      <c r="R27" s="28">
        <v>10.34</v>
      </c>
      <c r="S27" s="28">
        <v>10.83</v>
      </c>
      <c r="T27" s="28">
        <v>10.84</v>
      </c>
      <c r="U27" s="28">
        <v>7.29</v>
      </c>
      <c r="V27" s="28">
        <f t="shared" si="4"/>
        <v>57.910000000000004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141950</v>
      </c>
      <c r="C28" s="28">
        <v>129.53</v>
      </c>
      <c r="D28" s="28">
        <v>3792.81</v>
      </c>
      <c r="E28" s="28">
        <v>62.5</v>
      </c>
      <c r="F28" s="28">
        <v>63.05</v>
      </c>
      <c r="G28" s="28">
        <f t="shared" si="0"/>
        <v>125.55</v>
      </c>
      <c r="H28" s="28">
        <v>0</v>
      </c>
      <c r="I28" s="28">
        <v>0</v>
      </c>
      <c r="J28" s="112">
        <v>109</v>
      </c>
      <c r="K28" s="28">
        <f t="shared" si="1"/>
        <v>15.183486238532108</v>
      </c>
      <c r="L28" s="28" t="s">
        <v>79</v>
      </c>
      <c r="M28" s="28" t="s">
        <v>90</v>
      </c>
      <c r="N28" s="28">
        <f t="shared" si="2"/>
        <v>10141.690896057347</v>
      </c>
      <c r="O28" s="28">
        <f t="shared" si="3"/>
        <v>16.549999999999997</v>
      </c>
      <c r="P28" s="28">
        <v>8.4499999999999993</v>
      </c>
      <c r="Q28" s="28">
        <v>12.98</v>
      </c>
      <c r="R28" s="28">
        <v>13.45</v>
      </c>
      <c r="S28" s="28">
        <v>13.97</v>
      </c>
      <c r="T28" s="28">
        <v>13.97</v>
      </c>
      <c r="U28" s="28">
        <v>7.47</v>
      </c>
      <c r="V28" s="28">
        <f t="shared" si="4"/>
        <v>70.289999999999992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169420</v>
      </c>
      <c r="C29" s="28">
        <v>0.01</v>
      </c>
      <c r="D29" s="28">
        <v>7231.42</v>
      </c>
      <c r="E29" s="28">
        <v>75.53</v>
      </c>
      <c r="F29" s="28">
        <v>76.180000000000007</v>
      </c>
      <c r="G29" s="28">
        <f t="shared" si="0"/>
        <v>151.71</v>
      </c>
      <c r="H29" s="28">
        <v>0</v>
      </c>
      <c r="I29" s="28">
        <v>0</v>
      </c>
      <c r="J29" s="112">
        <v>134</v>
      </c>
      <c r="K29" s="28">
        <f t="shared" si="1"/>
        <v>13.216417910447769</v>
      </c>
      <c r="L29" s="28" t="s">
        <v>79</v>
      </c>
      <c r="M29" s="28" t="s">
        <v>90</v>
      </c>
      <c r="N29" s="28">
        <f t="shared" si="2"/>
        <v>9678.8984773581178</v>
      </c>
      <c r="O29" s="28">
        <f t="shared" si="3"/>
        <v>17.710000000000008</v>
      </c>
      <c r="P29" s="28">
        <v>8.43</v>
      </c>
      <c r="Q29" s="28">
        <v>15.61</v>
      </c>
      <c r="R29" s="28">
        <v>16.11</v>
      </c>
      <c r="S29" s="28">
        <v>16.62</v>
      </c>
      <c r="T29" s="28">
        <v>16.62</v>
      </c>
      <c r="U29" s="28">
        <v>7.67</v>
      </c>
      <c r="V29" s="28">
        <f t="shared" si="4"/>
        <v>81.06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177150</v>
      </c>
      <c r="C30" s="28">
        <v>0</v>
      </c>
      <c r="D30" s="28">
        <v>12166.310000000001</v>
      </c>
      <c r="E30" s="28">
        <v>79.31</v>
      </c>
      <c r="F30" s="28">
        <v>79.989999999999995</v>
      </c>
      <c r="G30" s="28">
        <f t="shared" si="0"/>
        <v>159.30000000000001</v>
      </c>
      <c r="H30" s="28">
        <v>0</v>
      </c>
      <c r="I30" s="28">
        <v>0</v>
      </c>
      <c r="J30" s="112">
        <v>164</v>
      </c>
      <c r="K30" s="28">
        <f t="shared" si="1"/>
        <v>-2.8658536585365786</v>
      </c>
      <c r="L30" s="28"/>
      <c r="M30" s="28"/>
      <c r="N30" s="28">
        <f t="shared" si="2"/>
        <v>9429.2480602636533</v>
      </c>
      <c r="O30" s="28" t="str">
        <f t="shared" si="3"/>
        <v/>
      </c>
      <c r="P30" s="28">
        <v>8.34</v>
      </c>
      <c r="Q30" s="28">
        <v>16.11</v>
      </c>
      <c r="R30" s="28">
        <v>16.600000000000001</v>
      </c>
      <c r="S30" s="28">
        <v>17.11</v>
      </c>
      <c r="T30" s="28">
        <v>17.11</v>
      </c>
      <c r="U30" s="28">
        <v>7.65</v>
      </c>
      <c r="V30" s="28">
        <f t="shared" si="4"/>
        <v>82.92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176500</v>
      </c>
      <c r="C31" s="28">
        <v>4.4000000000000004</v>
      </c>
      <c r="D31" s="28">
        <v>4911.3099999999995</v>
      </c>
      <c r="E31" s="28">
        <v>78.849999999999994</v>
      </c>
      <c r="F31" s="28">
        <v>79.53</v>
      </c>
      <c r="G31" s="28">
        <f t="shared" si="0"/>
        <v>158.38</v>
      </c>
      <c r="H31" s="28">
        <v>0</v>
      </c>
      <c r="I31" s="28">
        <v>0</v>
      </c>
      <c r="J31" s="112">
        <v>164</v>
      </c>
      <c r="K31" s="28">
        <f t="shared" si="1"/>
        <v>-3.4268292682926855</v>
      </c>
      <c r="L31" s="28"/>
      <c r="M31" s="28"/>
      <c r="N31" s="28">
        <f t="shared" si="2"/>
        <v>9493.170854905924</v>
      </c>
      <c r="O31" s="28" t="str">
        <f t="shared" si="3"/>
        <v/>
      </c>
      <c r="P31" s="28">
        <v>8.32</v>
      </c>
      <c r="Q31" s="28">
        <v>16.170000000000002</v>
      </c>
      <c r="R31" s="28">
        <v>16.670000000000002</v>
      </c>
      <c r="S31" s="28">
        <v>17.18</v>
      </c>
      <c r="T31" s="28">
        <v>17.170000000000002</v>
      </c>
      <c r="U31" s="28">
        <v>7.49</v>
      </c>
      <c r="V31" s="28">
        <f t="shared" si="4"/>
        <v>83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175720</v>
      </c>
      <c r="C32" s="28">
        <v>10.129999999999999</v>
      </c>
      <c r="D32" s="28">
        <v>4790.34</v>
      </c>
      <c r="E32" s="28">
        <v>78.55</v>
      </c>
      <c r="F32" s="28">
        <v>79.22</v>
      </c>
      <c r="G32" s="28">
        <f t="shared" si="0"/>
        <v>157.76999999999998</v>
      </c>
      <c r="H32" s="28">
        <v>0</v>
      </c>
      <c r="I32" s="28">
        <v>0</v>
      </c>
      <c r="J32" s="112">
        <v>164</v>
      </c>
      <c r="K32" s="28">
        <f t="shared" si="1"/>
        <v>-3.7987804878048892</v>
      </c>
      <c r="L32" s="28"/>
      <c r="M32" s="28"/>
      <c r="N32" s="28">
        <f t="shared" si="2"/>
        <v>9562.0241110477291</v>
      </c>
      <c r="O32" s="28" t="str">
        <f t="shared" si="3"/>
        <v/>
      </c>
      <c r="P32" s="28">
        <v>8.1300000000000008</v>
      </c>
      <c r="Q32" s="28">
        <v>16.32</v>
      </c>
      <c r="R32" s="28">
        <v>16.82</v>
      </c>
      <c r="S32" s="28">
        <v>17.32</v>
      </c>
      <c r="T32" s="28">
        <v>17.32</v>
      </c>
      <c r="U32" s="28">
        <v>7.37</v>
      </c>
      <c r="V32" s="28">
        <f t="shared" si="4"/>
        <v>83.28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171300</v>
      </c>
      <c r="C33" s="28">
        <v>1.8399999999999999</v>
      </c>
      <c r="D33" s="28">
        <v>5296.79</v>
      </c>
      <c r="E33" s="28">
        <v>76.5</v>
      </c>
      <c r="F33" s="28">
        <v>77.150000000000006</v>
      </c>
      <c r="G33" s="28">
        <f t="shared" si="0"/>
        <v>153.65</v>
      </c>
      <c r="H33" s="28">
        <v>0</v>
      </c>
      <c r="I33" s="28">
        <v>0</v>
      </c>
      <c r="J33" s="112">
        <v>155</v>
      </c>
      <c r="K33" s="28">
        <f t="shared" si="1"/>
        <v>-0.87096774193548021</v>
      </c>
      <c r="L33" s="28"/>
      <c r="M33" s="28"/>
      <c r="N33" s="28">
        <f t="shared" si="2"/>
        <v>9647.4720728929369</v>
      </c>
      <c r="O33" s="28" t="str">
        <f t="shared" si="3"/>
        <v/>
      </c>
      <c r="P33" s="28">
        <v>8.0299999999999994</v>
      </c>
      <c r="Q33" s="28">
        <v>16.05</v>
      </c>
      <c r="R33" s="28">
        <v>16.55</v>
      </c>
      <c r="S33" s="28">
        <v>17.05</v>
      </c>
      <c r="T33" s="28">
        <v>17.04</v>
      </c>
      <c r="U33" s="28">
        <v>7.11</v>
      </c>
      <c r="V33" s="28">
        <f t="shared" si="4"/>
        <v>81.83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171000</v>
      </c>
      <c r="C34" s="28">
        <v>0</v>
      </c>
      <c r="D34" s="28">
        <v>7759.43</v>
      </c>
      <c r="E34" s="28">
        <v>76.599999999999994</v>
      </c>
      <c r="F34" s="28">
        <v>77.260000000000005</v>
      </c>
      <c r="G34" s="28">
        <f t="shared" si="0"/>
        <v>153.86000000000001</v>
      </c>
      <c r="H34" s="28">
        <v>0</v>
      </c>
      <c r="I34" s="28">
        <v>0</v>
      </c>
      <c r="J34" s="112">
        <v>155</v>
      </c>
      <c r="K34" s="28">
        <f t="shared" si="1"/>
        <v>-0.73548387096773316</v>
      </c>
      <c r="L34" s="28"/>
      <c r="M34" s="28"/>
      <c r="N34" s="28">
        <f t="shared" si="2"/>
        <v>9681.3987001169899</v>
      </c>
      <c r="O34" s="28" t="str">
        <f t="shared" si="3"/>
        <v/>
      </c>
      <c r="P34" s="28">
        <v>7.98</v>
      </c>
      <c r="Q34" s="28">
        <v>16.079999999999998</v>
      </c>
      <c r="R34" s="28">
        <v>16.579999999999998</v>
      </c>
      <c r="S34" s="28">
        <v>17.09</v>
      </c>
      <c r="T34" s="28">
        <v>17.37</v>
      </c>
      <c r="U34" s="28">
        <v>7.13</v>
      </c>
      <c r="V34" s="28">
        <f t="shared" si="4"/>
        <v>82.23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153030</v>
      </c>
      <c r="C35" s="28">
        <v>0</v>
      </c>
      <c r="D35" s="28">
        <v>8181.18</v>
      </c>
      <c r="E35" s="28">
        <v>68.12</v>
      </c>
      <c r="F35" s="28">
        <v>68.7</v>
      </c>
      <c r="G35" s="28">
        <f t="shared" si="0"/>
        <v>136.82</v>
      </c>
      <c r="H35" s="28">
        <v>0</v>
      </c>
      <c r="I35" s="28">
        <v>0</v>
      </c>
      <c r="J35" s="112">
        <v>136</v>
      </c>
      <c r="K35" s="116">
        <f t="shared" si="1"/>
        <v>0.60294117647058321</v>
      </c>
      <c r="L35" s="28"/>
      <c r="M35" s="28"/>
      <c r="N35" s="28">
        <f t="shared" si="2"/>
        <v>9796.185148370123</v>
      </c>
      <c r="O35" s="28" t="str">
        <f t="shared" si="3"/>
        <v/>
      </c>
      <c r="P35" s="28">
        <v>8.09</v>
      </c>
      <c r="Q35" s="28">
        <v>13.94</v>
      </c>
      <c r="R35" s="28">
        <v>14.43</v>
      </c>
      <c r="S35" s="28">
        <v>14.94</v>
      </c>
      <c r="T35" s="28">
        <v>15.43</v>
      </c>
      <c r="U35" s="28">
        <v>7.16</v>
      </c>
      <c r="V35" s="28">
        <f t="shared" si="4"/>
        <v>73.989999999999995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3486290</v>
      </c>
      <c r="C36" s="35">
        <f t="shared" ref="C36:J36" si="5">SUM(C12:C35)</f>
        <v>29025.69</v>
      </c>
      <c r="D36" s="35">
        <f t="shared" si="5"/>
        <v>168565.7</v>
      </c>
      <c r="E36" s="35">
        <f t="shared" si="5"/>
        <v>1541.7099999999996</v>
      </c>
      <c r="F36" s="35">
        <f t="shared" si="5"/>
        <v>1555.18</v>
      </c>
      <c r="G36" s="35">
        <f t="shared" si="5"/>
        <v>3096.8900000000008</v>
      </c>
      <c r="H36" s="35">
        <f t="shared" si="5"/>
        <v>0</v>
      </c>
      <c r="I36" s="35">
        <f t="shared" si="5"/>
        <v>0</v>
      </c>
      <c r="J36" s="35">
        <f t="shared" si="5"/>
        <v>2719</v>
      </c>
      <c r="K36" s="36"/>
      <c r="L36" s="37"/>
      <c r="M36" s="38"/>
      <c r="N36" s="35">
        <f>IFERROR(AVERAGE(N12:N35),"")</f>
        <v>9947.8946223340517</v>
      </c>
      <c r="O36" s="39">
        <f t="shared" ref="O36:U36" si="6">SUM(O12:O35)</f>
        <v>385.01</v>
      </c>
      <c r="P36" s="39">
        <f t="shared" si="6"/>
        <v>207.01000000000002</v>
      </c>
      <c r="Q36" s="39">
        <f t="shared" si="6"/>
        <v>308.11</v>
      </c>
      <c r="R36" s="39">
        <f t="shared" si="6"/>
        <v>320.02999999999997</v>
      </c>
      <c r="S36" s="39">
        <f t="shared" si="6"/>
        <v>332.19</v>
      </c>
      <c r="T36" s="39">
        <f t="shared" si="6"/>
        <v>332.86000000000007</v>
      </c>
      <c r="U36" s="39">
        <f t="shared" si="6"/>
        <v>179.16</v>
      </c>
      <c r="V36" s="39">
        <f>SUM(V12:V35)</f>
        <v>1679.3600000000001</v>
      </c>
      <c r="W36" s="40">
        <f>SUM(W12:W35)</f>
        <v>0</v>
      </c>
      <c r="X36" s="40">
        <f>SUM(X12:X35)</f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0</v>
      </c>
      <c r="J41" s="41"/>
      <c r="K41" s="13" t="s">
        <v>59</v>
      </c>
      <c r="L41" s="113">
        <v>385100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1</v>
      </c>
      <c r="B42" s="57">
        <v>0</v>
      </c>
      <c r="C42" s="57">
        <v>0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164281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>
        <f>IFERROR(3412.14/N36,"")</f>
        <v>0.34300122081504492</v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10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David Ortiz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0</v>
      </c>
      <c r="D58" s="81">
        <v>1378.96</v>
      </c>
      <c r="E58" s="82">
        <v>0</v>
      </c>
      <c r="F58" s="83">
        <v>13459.65</v>
      </c>
      <c r="G58" s="82">
        <v>130</v>
      </c>
      <c r="H58" s="84">
        <f t="shared" ref="H58:H81" si="7">IF(G58=0,0,100*(E58-G58)/G58)</f>
        <v>-100</v>
      </c>
      <c r="I58" s="85"/>
      <c r="J58" s="85" t="s">
        <v>91</v>
      </c>
      <c r="K58" s="86" t="str">
        <f t="shared" ref="K58:K81" si="8">IFERROR(U58*1000*2.2*$K$92/E58/1000,"")</f>
        <v/>
      </c>
      <c r="L58" s="87">
        <f t="shared" ref="L58:L81" si="9">IF(OR(H58&gt;5,H58&lt;-5),E58-G58,"")</f>
        <v>-130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600.45000000000005</v>
      </c>
      <c r="D59" s="81">
        <v>252.33</v>
      </c>
      <c r="E59" s="82">
        <v>0</v>
      </c>
      <c r="F59" s="82">
        <v>9818.15</v>
      </c>
      <c r="G59" s="82">
        <v>0</v>
      </c>
      <c r="H59" s="91">
        <f t="shared" si="7"/>
        <v>0</v>
      </c>
      <c r="I59" s="85"/>
      <c r="J59" s="85"/>
      <c r="K59" s="86" t="str">
        <f t="shared" si="8"/>
        <v/>
      </c>
      <c r="L59" s="87" t="str">
        <f t="shared" si="9"/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10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893.24</v>
      </c>
      <c r="D60" s="81">
        <v>0</v>
      </c>
      <c r="E60" s="82">
        <v>0</v>
      </c>
      <c r="F60" s="82">
        <v>7286.79</v>
      </c>
      <c r="G60" s="82">
        <v>0</v>
      </c>
      <c r="H60" s="91">
        <f t="shared" si="7"/>
        <v>0</v>
      </c>
      <c r="I60" s="85"/>
      <c r="J60" s="85"/>
      <c r="K60" s="86" t="str">
        <f t="shared" si="8"/>
        <v/>
      </c>
      <c r="L60" s="87" t="str">
        <f t="shared" si="9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10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1165.76</v>
      </c>
      <c r="D61" s="81">
        <v>40.44</v>
      </c>
      <c r="E61" s="82">
        <v>0</v>
      </c>
      <c r="F61" s="82">
        <v>6881.32</v>
      </c>
      <c r="G61" s="82">
        <v>0</v>
      </c>
      <c r="H61" s="91">
        <f t="shared" si="7"/>
        <v>0</v>
      </c>
      <c r="I61" s="85"/>
      <c r="J61" s="85"/>
      <c r="K61" s="86" t="str">
        <f t="shared" si="8"/>
        <v/>
      </c>
      <c r="L61" s="87" t="str">
        <f t="shared" si="9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10"/>
        <v>0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1441.62</v>
      </c>
      <c r="D62" s="81">
        <v>0</v>
      </c>
      <c r="E62" s="82">
        <v>0</v>
      </c>
      <c r="F62" s="82">
        <v>7190.89</v>
      </c>
      <c r="G62" s="82">
        <v>0</v>
      </c>
      <c r="H62" s="91">
        <f t="shared" si="7"/>
        <v>0</v>
      </c>
      <c r="I62" s="85"/>
      <c r="J62" s="85"/>
      <c r="K62" s="86" t="str">
        <f t="shared" si="8"/>
        <v/>
      </c>
      <c r="L62" s="87" t="str">
        <f t="shared" si="9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10"/>
        <v>0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823.42</v>
      </c>
      <c r="D63" s="81">
        <v>82.74</v>
      </c>
      <c r="E63" s="82">
        <v>0</v>
      </c>
      <c r="F63" s="82">
        <v>8706.2000000000007</v>
      </c>
      <c r="G63" s="82">
        <v>0</v>
      </c>
      <c r="H63" s="91">
        <f t="shared" si="7"/>
        <v>0</v>
      </c>
      <c r="I63" s="85"/>
      <c r="J63" s="85"/>
      <c r="K63" s="86" t="str">
        <f t="shared" si="8"/>
        <v/>
      </c>
      <c r="L63" s="87" t="str">
        <f t="shared" si="9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10"/>
        <v>0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0</v>
      </c>
      <c r="D64" s="81">
        <v>122.56</v>
      </c>
      <c r="E64" s="82">
        <v>0</v>
      </c>
      <c r="F64" s="82">
        <v>10779.19</v>
      </c>
      <c r="G64" s="82">
        <v>0</v>
      </c>
      <c r="H64" s="91">
        <f t="shared" si="7"/>
        <v>0</v>
      </c>
      <c r="I64" s="85"/>
      <c r="J64" s="85"/>
      <c r="K64" s="86" t="str">
        <f t="shared" si="8"/>
        <v/>
      </c>
      <c r="L64" s="87" t="str">
        <f t="shared" si="9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10"/>
        <v>0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0</v>
      </c>
      <c r="D65" s="81">
        <v>149.13</v>
      </c>
      <c r="E65" s="82">
        <v>0</v>
      </c>
      <c r="F65" s="82">
        <v>10816.61</v>
      </c>
      <c r="G65" s="82">
        <v>0</v>
      </c>
      <c r="H65" s="91">
        <f t="shared" si="7"/>
        <v>0</v>
      </c>
      <c r="I65" s="85"/>
      <c r="J65" s="85"/>
      <c r="K65" s="86" t="str">
        <f t="shared" si="8"/>
        <v/>
      </c>
      <c r="L65" s="87" t="str">
        <f t="shared" si="9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10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0</v>
      </c>
      <c r="D66" s="81">
        <v>156.21</v>
      </c>
      <c r="E66" s="82">
        <v>0</v>
      </c>
      <c r="F66" s="82">
        <v>10752.01</v>
      </c>
      <c r="G66" s="82">
        <v>0</v>
      </c>
      <c r="H66" s="91">
        <f t="shared" si="7"/>
        <v>0</v>
      </c>
      <c r="I66" s="85"/>
      <c r="J66" s="85"/>
      <c r="K66" s="86" t="str">
        <f t="shared" si="8"/>
        <v/>
      </c>
      <c r="L66" s="87" t="str">
        <f t="shared" si="9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10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0.02</v>
      </c>
      <c r="D67" s="81">
        <v>118.98</v>
      </c>
      <c r="E67" s="82">
        <v>0</v>
      </c>
      <c r="F67" s="82">
        <v>10701.46</v>
      </c>
      <c r="G67" s="82">
        <v>0</v>
      </c>
      <c r="H67" s="91">
        <f t="shared" si="7"/>
        <v>0</v>
      </c>
      <c r="I67" s="85"/>
      <c r="J67" s="85"/>
      <c r="K67" s="86" t="str">
        <f t="shared" si="8"/>
        <v/>
      </c>
      <c r="L67" s="87" t="str">
        <f t="shared" si="9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10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11.31</v>
      </c>
      <c r="D68" s="81">
        <v>33.31</v>
      </c>
      <c r="E68" s="82">
        <v>0</v>
      </c>
      <c r="F68" s="82">
        <v>10526.99</v>
      </c>
      <c r="G68" s="82">
        <v>0</v>
      </c>
      <c r="H68" s="91">
        <f t="shared" si="7"/>
        <v>0</v>
      </c>
      <c r="I68" s="85"/>
      <c r="J68" s="85"/>
      <c r="K68" s="86" t="str">
        <f t="shared" si="8"/>
        <v/>
      </c>
      <c r="L68" s="87" t="str">
        <f t="shared" si="9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10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264.38</v>
      </c>
      <c r="D69" s="81">
        <v>6.49</v>
      </c>
      <c r="E69" s="82">
        <v>0</v>
      </c>
      <c r="F69" s="82">
        <v>9955.84</v>
      </c>
      <c r="G69" s="82">
        <v>0</v>
      </c>
      <c r="H69" s="91">
        <f t="shared" si="7"/>
        <v>0</v>
      </c>
      <c r="I69" s="85"/>
      <c r="J69" s="85"/>
      <c r="K69" s="86" t="str">
        <f t="shared" si="8"/>
        <v/>
      </c>
      <c r="L69" s="87" t="str">
        <f t="shared" si="9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10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1610.07</v>
      </c>
      <c r="D70" s="81">
        <v>39.79</v>
      </c>
      <c r="E70" s="82">
        <v>0</v>
      </c>
      <c r="F70" s="82">
        <v>6035.72</v>
      </c>
      <c r="G70" s="82">
        <v>0</v>
      </c>
      <c r="H70" s="91">
        <f t="shared" si="7"/>
        <v>0</v>
      </c>
      <c r="I70" s="85"/>
      <c r="J70" s="85"/>
      <c r="K70" s="86" t="str">
        <f t="shared" si="8"/>
        <v/>
      </c>
      <c r="L70" s="87" t="str">
        <f t="shared" si="9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10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1610.11</v>
      </c>
      <c r="D71" s="81">
        <v>0</v>
      </c>
      <c r="E71" s="82">
        <v>0</v>
      </c>
      <c r="F71" s="82">
        <v>5846.56</v>
      </c>
      <c r="G71" s="82">
        <v>0</v>
      </c>
      <c r="H71" s="91">
        <f t="shared" si="7"/>
        <v>0</v>
      </c>
      <c r="I71" s="85"/>
      <c r="J71" s="85"/>
      <c r="K71" s="86" t="str">
        <f t="shared" si="8"/>
        <v/>
      </c>
      <c r="L71" s="87" t="str">
        <f t="shared" si="9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10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1592.18</v>
      </c>
      <c r="D72" s="81">
        <v>0</v>
      </c>
      <c r="E72" s="82">
        <v>0</v>
      </c>
      <c r="F72" s="82">
        <v>5887.28</v>
      </c>
      <c r="G72" s="82">
        <v>0</v>
      </c>
      <c r="H72" s="91">
        <f t="shared" si="7"/>
        <v>0</v>
      </c>
      <c r="I72" s="85"/>
      <c r="J72" s="85"/>
      <c r="K72" s="86" t="str">
        <f t="shared" si="8"/>
        <v/>
      </c>
      <c r="L72" s="87" t="str">
        <f t="shared" si="9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10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1627.15</v>
      </c>
      <c r="D73" s="81">
        <v>0</v>
      </c>
      <c r="E73" s="82">
        <v>0</v>
      </c>
      <c r="F73" s="82">
        <v>5772.78</v>
      </c>
      <c r="G73" s="82">
        <v>0</v>
      </c>
      <c r="H73" s="91">
        <f t="shared" si="7"/>
        <v>0</v>
      </c>
      <c r="I73" s="85"/>
      <c r="J73" s="85"/>
      <c r="K73" s="86" t="str">
        <f t="shared" si="8"/>
        <v/>
      </c>
      <c r="L73" s="87" t="str">
        <f t="shared" si="9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10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1596.72</v>
      </c>
      <c r="D74" s="81">
        <v>0</v>
      </c>
      <c r="E74" s="82">
        <v>0</v>
      </c>
      <c r="F74" s="82">
        <v>5848.75</v>
      </c>
      <c r="G74" s="82">
        <v>0</v>
      </c>
      <c r="H74" s="91">
        <f t="shared" si="7"/>
        <v>0</v>
      </c>
      <c r="I74" s="85"/>
      <c r="J74" s="85"/>
      <c r="K74" s="86" t="str">
        <f t="shared" si="8"/>
        <v/>
      </c>
      <c r="L74" s="87" t="str">
        <f t="shared" si="9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10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1680.25</v>
      </c>
      <c r="D75" s="81">
        <v>0</v>
      </c>
      <c r="E75" s="82">
        <v>0</v>
      </c>
      <c r="F75" s="82">
        <v>5716.56</v>
      </c>
      <c r="G75" s="82">
        <v>0</v>
      </c>
      <c r="H75" s="91">
        <f t="shared" si="7"/>
        <v>0</v>
      </c>
      <c r="I75" s="85"/>
      <c r="J75" s="85"/>
      <c r="K75" s="86" t="str">
        <f t="shared" si="8"/>
        <v/>
      </c>
      <c r="L75" s="87" t="str">
        <f t="shared" si="9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10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1716.78</v>
      </c>
      <c r="D76" s="81">
        <v>0</v>
      </c>
      <c r="E76" s="82">
        <v>0</v>
      </c>
      <c r="F76" s="82">
        <v>5715.41</v>
      </c>
      <c r="G76" s="82">
        <v>0</v>
      </c>
      <c r="H76" s="91">
        <f t="shared" si="7"/>
        <v>0</v>
      </c>
      <c r="I76" s="85"/>
      <c r="J76" s="85"/>
      <c r="K76" s="86" t="str">
        <f t="shared" si="8"/>
        <v/>
      </c>
      <c r="L76" s="87" t="str">
        <f t="shared" si="9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10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1684.58</v>
      </c>
      <c r="D77" s="81">
        <v>0</v>
      </c>
      <c r="E77" s="82">
        <v>0</v>
      </c>
      <c r="F77" s="82">
        <v>5847.08</v>
      </c>
      <c r="G77" s="82">
        <v>0</v>
      </c>
      <c r="H77" s="91">
        <f t="shared" si="7"/>
        <v>0</v>
      </c>
      <c r="I77" s="85"/>
      <c r="J77" s="85"/>
      <c r="K77" s="86" t="str">
        <f t="shared" si="8"/>
        <v/>
      </c>
      <c r="L77" s="87" t="str">
        <f t="shared" si="9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10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1670.84</v>
      </c>
      <c r="D78" s="81">
        <v>0</v>
      </c>
      <c r="E78" s="82">
        <v>0</v>
      </c>
      <c r="F78" s="82">
        <v>5828.78</v>
      </c>
      <c r="G78" s="82">
        <v>0</v>
      </c>
      <c r="H78" s="91">
        <f t="shared" si="7"/>
        <v>0</v>
      </c>
      <c r="I78" s="85"/>
      <c r="J78" s="85"/>
      <c r="K78" s="86" t="str">
        <f t="shared" si="8"/>
        <v/>
      </c>
      <c r="L78" s="87" t="str">
        <f t="shared" si="9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0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1786.47</v>
      </c>
      <c r="D79" s="81">
        <v>0</v>
      </c>
      <c r="E79" s="82">
        <v>0</v>
      </c>
      <c r="F79" s="82">
        <v>5566.32</v>
      </c>
      <c r="G79" s="82">
        <v>0</v>
      </c>
      <c r="H79" s="91">
        <f t="shared" si="7"/>
        <v>0</v>
      </c>
      <c r="I79" s="85"/>
      <c r="J79" s="85"/>
      <c r="K79" s="86" t="str">
        <f t="shared" si="8"/>
        <v/>
      </c>
      <c r="L79" s="87" t="str">
        <f t="shared" si="9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0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1786</v>
      </c>
      <c r="D80" s="81">
        <v>0</v>
      </c>
      <c r="E80" s="82">
        <v>0</v>
      </c>
      <c r="F80" s="82">
        <v>5552.6</v>
      </c>
      <c r="G80" s="82">
        <v>0</v>
      </c>
      <c r="H80" s="91">
        <f t="shared" si="7"/>
        <v>0</v>
      </c>
      <c r="I80" s="85"/>
      <c r="J80" s="85"/>
      <c r="K80" s="86" t="str">
        <f t="shared" si="8"/>
        <v/>
      </c>
      <c r="L80" s="87" t="str">
        <f t="shared" si="9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0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1814.14</v>
      </c>
      <c r="D81" s="28">
        <v>0</v>
      </c>
      <c r="E81" s="96">
        <v>0</v>
      </c>
      <c r="F81" s="97">
        <v>5480.37</v>
      </c>
      <c r="G81" s="82">
        <v>0</v>
      </c>
      <c r="H81" s="98">
        <f t="shared" si="7"/>
        <v>0</v>
      </c>
      <c r="I81" s="115"/>
      <c r="J81" s="85"/>
      <c r="K81" s="99" t="str">
        <f t="shared" si="8"/>
        <v/>
      </c>
      <c r="L81" s="87" t="str">
        <f t="shared" si="9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0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1">SUM(B58:B81)</f>
        <v>0</v>
      </c>
      <c r="C82" s="35">
        <f t="shared" si="11"/>
        <v>25375.49</v>
      </c>
      <c r="D82" s="35">
        <f t="shared" si="11"/>
        <v>2380.9399999999996</v>
      </c>
      <c r="E82" s="35">
        <f t="shared" si="11"/>
        <v>0</v>
      </c>
      <c r="F82" s="101">
        <f t="shared" si="11"/>
        <v>185973.31</v>
      </c>
      <c r="G82" s="35">
        <f t="shared" si="11"/>
        <v>130</v>
      </c>
      <c r="H82" s="102"/>
      <c r="I82" s="103"/>
      <c r="J82" s="104"/>
      <c r="K82" s="105" t="str">
        <f>IFERROR(AVERAGE(K58:K81),"")</f>
        <v/>
      </c>
      <c r="L82" s="40">
        <f t="shared" ref="L82:U82" si="12">SUM(L58:L81)</f>
        <v>-130</v>
      </c>
      <c r="M82" s="40">
        <f t="shared" si="12"/>
        <v>0</v>
      </c>
      <c r="N82" s="39">
        <f t="shared" si="12"/>
        <v>0</v>
      </c>
      <c r="O82" s="39">
        <f t="shared" si="12"/>
        <v>0</v>
      </c>
      <c r="P82" s="39">
        <f t="shared" si="12"/>
        <v>0</v>
      </c>
      <c r="Q82" s="39">
        <f t="shared" si="12"/>
        <v>0</v>
      </c>
      <c r="R82" s="39">
        <f t="shared" si="12"/>
        <v>0</v>
      </c>
      <c r="S82" s="39">
        <f t="shared" si="12"/>
        <v>0</v>
      </c>
      <c r="T82" s="39">
        <f t="shared" si="12"/>
        <v>0</v>
      </c>
      <c r="U82" s="39">
        <f t="shared" si="12"/>
        <v>0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185973.31</v>
      </c>
      <c r="J87" s="41"/>
      <c r="K87" s="62" t="s">
        <v>59</v>
      </c>
      <c r="L87" s="113">
        <v>19297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</v>
      </c>
      <c r="B88" s="57">
        <v>0</v>
      </c>
      <c r="C88" s="57">
        <v>1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16485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 t="str">
        <f>IFERROR(3412.14/K82,"")</f>
        <v/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A1:C1"/>
    <mergeCell ref="D1:U2"/>
    <mergeCell ref="V1:X4"/>
    <mergeCell ref="A2:C2"/>
    <mergeCell ref="A3:C3"/>
    <mergeCell ref="D3:U4"/>
    <mergeCell ref="A4:C4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39:A40"/>
    <mergeCell ref="B39:B40"/>
    <mergeCell ref="C39:C40"/>
    <mergeCell ref="D39:D40"/>
    <mergeCell ref="H39:I40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H41:H42"/>
    <mergeCell ref="I41:I42"/>
    <mergeCell ref="K44:L44"/>
    <mergeCell ref="C45:I46"/>
    <mergeCell ref="K45:L45"/>
    <mergeCell ref="K46:L4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A85:A86"/>
    <mergeCell ref="B85:B86"/>
    <mergeCell ref="C85:C86"/>
    <mergeCell ref="D85:D86"/>
    <mergeCell ref="H85:I86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K90:L90"/>
    <mergeCell ref="B91:B92"/>
    <mergeCell ref="C91:I92"/>
    <mergeCell ref="K91:L91"/>
    <mergeCell ref="K92:L9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22C1-4C82-48CF-91CC-63B1CAFA1E28}">
  <dimension ref="A1:Z109"/>
  <sheetViews>
    <sheetView zoomScale="85" zoomScaleNormal="85" workbookViewId="0">
      <selection activeCell="G36" sqref="G36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11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81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176010</v>
      </c>
      <c r="C12" s="28">
        <v>0</v>
      </c>
      <c r="D12" s="28">
        <v>6896.37</v>
      </c>
      <c r="E12" s="28">
        <v>74.61</v>
      </c>
      <c r="F12" s="28">
        <v>75.239999999999995</v>
      </c>
      <c r="G12" s="28">
        <f t="shared" ref="G12:G35" si="0">+E12+F12</f>
        <v>149.85</v>
      </c>
      <c r="H12" s="28">
        <v>0</v>
      </c>
      <c r="I12" s="28">
        <v>0</v>
      </c>
      <c r="J12" s="112">
        <v>151.28</v>
      </c>
      <c r="K12" s="28">
        <f t="shared" ref="K12:K35" si="1">IF(J12=0,0,100*(G12-J12)/J12)</f>
        <v>-0.94526705446853965</v>
      </c>
      <c r="L12" s="28" t="s">
        <v>93</v>
      </c>
      <c r="M12" s="28"/>
      <c r="N12" s="28">
        <f t="shared" ref="N12:N35" si="2">IFERROR(V12*1000*2.2*$K$46/G12/1000,"")</f>
        <v>9935.6383850517195</v>
      </c>
      <c r="O12" s="28" t="str">
        <f t="shared" ref="O12:O35" si="3">IF(OR(K12&gt;5,K12&lt;-5),G12-J12,"")</f>
        <v/>
      </c>
      <c r="P12" s="28">
        <v>8.0500000000000007</v>
      </c>
      <c r="Q12" s="28">
        <v>15.99</v>
      </c>
      <c r="R12" s="28">
        <v>16.489999999999998</v>
      </c>
      <c r="S12" s="28">
        <v>16.989999999999998</v>
      </c>
      <c r="T12" s="28">
        <v>17.489999999999998</v>
      </c>
      <c r="U12" s="28">
        <v>7.18</v>
      </c>
      <c r="V12" s="28">
        <f t="shared" ref="V12:V35" si="4">+SUM(P12:U12)</f>
        <v>82.19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176940</v>
      </c>
      <c r="C13" s="28">
        <v>15.34</v>
      </c>
      <c r="D13" s="28">
        <v>5039.0200000000004</v>
      </c>
      <c r="E13" s="28">
        <v>79.28</v>
      </c>
      <c r="F13" s="28">
        <v>79.959999999999994</v>
      </c>
      <c r="G13" s="28">
        <f t="shared" si="0"/>
        <v>159.24</v>
      </c>
      <c r="H13" s="28">
        <v>0</v>
      </c>
      <c r="I13" s="28">
        <v>0</v>
      </c>
      <c r="J13" s="112">
        <v>136.44999999999999</v>
      </c>
      <c r="K13" s="28">
        <f t="shared" si="1"/>
        <v>16.70208867717114</v>
      </c>
      <c r="L13" s="28" t="s">
        <v>93</v>
      </c>
      <c r="M13" s="28"/>
      <c r="N13" s="28">
        <f t="shared" si="2"/>
        <v>9708.0949007786967</v>
      </c>
      <c r="O13" s="28">
        <f t="shared" si="3"/>
        <v>22.79000000000002</v>
      </c>
      <c r="P13" s="28">
        <v>8.02</v>
      </c>
      <c r="Q13" s="28">
        <v>16.829999999999998</v>
      </c>
      <c r="R13" s="28">
        <v>17.329999999999998</v>
      </c>
      <c r="S13" s="28">
        <v>17.829999999999998</v>
      </c>
      <c r="T13" s="28">
        <v>18.329999999999998</v>
      </c>
      <c r="U13" s="28">
        <v>7</v>
      </c>
      <c r="V13" s="28">
        <f t="shared" si="4"/>
        <v>85.339999999999989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176920</v>
      </c>
      <c r="C14" s="28">
        <v>20.149999999999999</v>
      </c>
      <c r="D14" s="28">
        <v>4084.41</v>
      </c>
      <c r="E14" s="28">
        <v>79.31</v>
      </c>
      <c r="F14" s="28">
        <v>79.989999999999995</v>
      </c>
      <c r="G14" s="28">
        <f t="shared" si="0"/>
        <v>159.30000000000001</v>
      </c>
      <c r="H14" s="28">
        <v>0</v>
      </c>
      <c r="I14" s="28">
        <v>0</v>
      </c>
      <c r="J14" s="112">
        <v>115.15</v>
      </c>
      <c r="K14" s="28">
        <f t="shared" si="1"/>
        <v>38.341293964394275</v>
      </c>
      <c r="L14" s="28" t="s">
        <v>93</v>
      </c>
      <c r="M14" s="28"/>
      <c r="N14" s="28">
        <f t="shared" si="2"/>
        <v>9631.6607658505982</v>
      </c>
      <c r="O14" s="28">
        <f t="shared" si="3"/>
        <v>44.150000000000006</v>
      </c>
      <c r="P14" s="28">
        <v>8.01</v>
      </c>
      <c r="Q14" s="28">
        <v>16.66</v>
      </c>
      <c r="R14" s="28">
        <v>17.149999999999999</v>
      </c>
      <c r="S14" s="28">
        <v>17.670000000000002</v>
      </c>
      <c r="T14" s="28">
        <v>18.16</v>
      </c>
      <c r="U14" s="28">
        <v>7.05</v>
      </c>
      <c r="V14" s="28">
        <f t="shared" si="4"/>
        <v>84.7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176340</v>
      </c>
      <c r="C15" s="28">
        <v>0</v>
      </c>
      <c r="D15" s="28">
        <v>5198.93</v>
      </c>
      <c r="E15" s="28">
        <v>79.06</v>
      </c>
      <c r="F15" s="28">
        <v>79.73</v>
      </c>
      <c r="G15" s="28">
        <f t="shared" si="0"/>
        <v>158.79000000000002</v>
      </c>
      <c r="H15" s="28">
        <v>0</v>
      </c>
      <c r="I15" s="28">
        <v>0</v>
      </c>
      <c r="J15" s="112">
        <v>93.77</v>
      </c>
      <c r="K15" s="28">
        <f t="shared" si="1"/>
        <v>69.339874160179193</v>
      </c>
      <c r="L15" s="28" t="s">
        <v>93</v>
      </c>
      <c r="M15" s="28"/>
      <c r="N15" s="28">
        <f t="shared" si="2"/>
        <v>9626.0899552868577</v>
      </c>
      <c r="O15" s="28">
        <f t="shared" si="3"/>
        <v>65.020000000000024</v>
      </c>
      <c r="P15" s="28">
        <v>7.98</v>
      </c>
      <c r="Q15" s="28">
        <v>16.600000000000001</v>
      </c>
      <c r="R15" s="28">
        <v>17.100000000000001</v>
      </c>
      <c r="S15" s="28">
        <v>17.61</v>
      </c>
      <c r="T15" s="28">
        <v>18.100000000000001</v>
      </c>
      <c r="U15" s="28">
        <v>6.99</v>
      </c>
      <c r="V15" s="28">
        <f t="shared" si="4"/>
        <v>84.38000000000001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176590</v>
      </c>
      <c r="C16" s="28">
        <v>0</v>
      </c>
      <c r="D16" s="28">
        <v>5175.51</v>
      </c>
      <c r="E16" s="28">
        <v>79.03</v>
      </c>
      <c r="F16" s="28">
        <v>79.7</v>
      </c>
      <c r="G16" s="28">
        <f t="shared" si="0"/>
        <v>158.73000000000002</v>
      </c>
      <c r="H16" s="28">
        <v>0</v>
      </c>
      <c r="I16" s="28">
        <v>0</v>
      </c>
      <c r="J16" s="112">
        <v>104.58</v>
      </c>
      <c r="K16" s="28">
        <f t="shared" si="1"/>
        <v>51.77854274239818</v>
      </c>
      <c r="L16" s="28" t="s">
        <v>93</v>
      </c>
      <c r="M16" s="28"/>
      <c r="N16" s="28">
        <f t="shared" si="2"/>
        <v>9633.152321552323</v>
      </c>
      <c r="O16" s="28">
        <f t="shared" si="3"/>
        <v>54.15000000000002</v>
      </c>
      <c r="P16" s="28">
        <v>8.08</v>
      </c>
      <c r="Q16" s="28">
        <v>16.579999999999998</v>
      </c>
      <c r="R16" s="28">
        <v>17.100000000000001</v>
      </c>
      <c r="S16" s="28">
        <v>17.600000000000001</v>
      </c>
      <c r="T16" s="28">
        <v>18.100000000000001</v>
      </c>
      <c r="U16" s="28">
        <v>6.95</v>
      </c>
      <c r="V16" s="28">
        <f t="shared" si="4"/>
        <v>84.410000000000011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176320</v>
      </c>
      <c r="C17" s="28">
        <v>117.32</v>
      </c>
      <c r="D17" s="28">
        <v>2862.84</v>
      </c>
      <c r="E17" s="28">
        <v>78.83</v>
      </c>
      <c r="F17" s="28">
        <v>79.510000000000005</v>
      </c>
      <c r="G17" s="28">
        <f t="shared" si="0"/>
        <v>158.34</v>
      </c>
      <c r="H17" s="28">
        <v>0</v>
      </c>
      <c r="I17" s="28">
        <v>0</v>
      </c>
      <c r="J17" s="112">
        <v>129.58000000000001</v>
      </c>
      <c r="K17" s="28">
        <f t="shared" si="1"/>
        <v>22.194783145547142</v>
      </c>
      <c r="L17" s="28" t="s">
        <v>93</v>
      </c>
      <c r="M17" s="28"/>
      <c r="N17" s="28">
        <f t="shared" si="2"/>
        <v>9632.8543640267799</v>
      </c>
      <c r="O17" s="28">
        <f t="shared" si="3"/>
        <v>28.759999999999991</v>
      </c>
      <c r="P17" s="28">
        <v>8.23</v>
      </c>
      <c r="Q17" s="28">
        <v>16.61</v>
      </c>
      <c r="R17" s="28">
        <v>17.100000000000001</v>
      </c>
      <c r="S17" s="28">
        <v>17.600000000000001</v>
      </c>
      <c r="T17" s="28">
        <v>18.100000000000001</v>
      </c>
      <c r="U17" s="28">
        <v>6.56</v>
      </c>
      <c r="V17" s="28">
        <f t="shared" si="4"/>
        <v>84.2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176040</v>
      </c>
      <c r="C18" s="28">
        <v>0.11</v>
      </c>
      <c r="D18" s="28">
        <v>4231.95</v>
      </c>
      <c r="E18" s="28">
        <v>78.78</v>
      </c>
      <c r="F18" s="28">
        <v>79.459999999999994</v>
      </c>
      <c r="G18" s="28">
        <f t="shared" si="0"/>
        <v>158.24</v>
      </c>
      <c r="H18" s="28">
        <v>0</v>
      </c>
      <c r="I18" s="28">
        <v>0</v>
      </c>
      <c r="J18" s="112">
        <v>118.74</v>
      </c>
      <c r="K18" s="28">
        <f t="shared" si="1"/>
        <v>33.265959238672743</v>
      </c>
      <c r="L18" s="28" t="s">
        <v>96</v>
      </c>
      <c r="M18" s="28"/>
      <c r="N18" s="28">
        <f t="shared" si="2"/>
        <v>9646.9552325581426</v>
      </c>
      <c r="O18" s="28">
        <f t="shared" si="3"/>
        <v>39.500000000000014</v>
      </c>
      <c r="P18" s="28">
        <v>8.18</v>
      </c>
      <c r="Q18" s="28">
        <v>16.600000000000001</v>
      </c>
      <c r="R18" s="28">
        <v>17.100000000000001</v>
      </c>
      <c r="S18" s="28">
        <v>17.61</v>
      </c>
      <c r="T18" s="28">
        <v>18.100000000000001</v>
      </c>
      <c r="U18" s="28">
        <v>6.68</v>
      </c>
      <c r="V18" s="28">
        <f t="shared" si="4"/>
        <v>84.27000000000001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176420</v>
      </c>
      <c r="C19" s="28">
        <v>6.0399999999999991</v>
      </c>
      <c r="D19" s="28">
        <v>3804.73</v>
      </c>
      <c r="E19" s="28">
        <v>78.88</v>
      </c>
      <c r="F19" s="28">
        <v>79.55</v>
      </c>
      <c r="G19" s="28">
        <f t="shared" si="0"/>
        <v>158.43</v>
      </c>
      <c r="H19" s="28">
        <v>0</v>
      </c>
      <c r="I19" s="28">
        <v>0</v>
      </c>
      <c r="J19" s="112">
        <v>90</v>
      </c>
      <c r="K19" s="28">
        <f t="shared" si="1"/>
        <v>76.033333333333346</v>
      </c>
      <c r="L19" s="28" t="s">
        <v>96</v>
      </c>
      <c r="M19" s="28"/>
      <c r="N19" s="28">
        <f t="shared" si="2"/>
        <v>9541.6275957836278</v>
      </c>
      <c r="O19" s="28">
        <f t="shared" si="3"/>
        <v>68.430000000000007</v>
      </c>
      <c r="P19" s="28">
        <v>8.23</v>
      </c>
      <c r="Q19" s="28">
        <v>16.59</v>
      </c>
      <c r="R19" s="28">
        <v>17.09</v>
      </c>
      <c r="S19" s="28">
        <v>16.8</v>
      </c>
      <c r="T19" s="28">
        <v>18.100000000000001</v>
      </c>
      <c r="U19" s="28">
        <v>6.64</v>
      </c>
      <c r="V19" s="28">
        <f t="shared" si="4"/>
        <v>83.45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176490</v>
      </c>
      <c r="C20" s="28">
        <v>0</v>
      </c>
      <c r="D20" s="28">
        <v>5661.12</v>
      </c>
      <c r="E20" s="28">
        <v>78.959999999999994</v>
      </c>
      <c r="F20" s="28">
        <v>79.62</v>
      </c>
      <c r="G20" s="28">
        <f t="shared" si="0"/>
        <v>158.57999999999998</v>
      </c>
      <c r="H20" s="28">
        <v>0</v>
      </c>
      <c r="I20" s="28">
        <v>0</v>
      </c>
      <c r="J20" s="112">
        <v>90</v>
      </c>
      <c r="K20" s="28">
        <f t="shared" si="1"/>
        <v>76.199999999999974</v>
      </c>
      <c r="L20" s="28" t="s">
        <v>97</v>
      </c>
      <c r="M20" s="28"/>
      <c r="N20" s="28">
        <f t="shared" si="2"/>
        <v>9549.7369151217081</v>
      </c>
      <c r="O20" s="28">
        <f t="shared" si="3"/>
        <v>68.579999999999984</v>
      </c>
      <c r="P20" s="28">
        <v>8.2200000000000006</v>
      </c>
      <c r="Q20" s="28">
        <v>16.600000000000001</v>
      </c>
      <c r="R20" s="28">
        <v>17.100000000000001</v>
      </c>
      <c r="S20" s="28">
        <v>16.760000000000002</v>
      </c>
      <c r="T20" s="28">
        <v>18.100000000000001</v>
      </c>
      <c r="U20" s="28">
        <v>6.82</v>
      </c>
      <c r="V20" s="28">
        <f t="shared" si="4"/>
        <v>83.6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176090</v>
      </c>
      <c r="C21" s="28">
        <v>0.01</v>
      </c>
      <c r="D21" s="28">
        <v>6292.28</v>
      </c>
      <c r="E21" s="28">
        <v>78.87</v>
      </c>
      <c r="F21" s="28">
        <v>79.53</v>
      </c>
      <c r="G21" s="28">
        <f t="shared" si="0"/>
        <v>158.4</v>
      </c>
      <c r="H21" s="28">
        <v>0</v>
      </c>
      <c r="I21" s="28">
        <v>0</v>
      </c>
      <c r="J21" s="112">
        <v>90</v>
      </c>
      <c r="K21" s="28">
        <f t="shared" si="1"/>
        <v>76.000000000000014</v>
      </c>
      <c r="L21" s="28" t="s">
        <v>97</v>
      </c>
      <c r="M21" s="28"/>
      <c r="N21" s="28">
        <f t="shared" si="2"/>
        <v>9528.5677777777801</v>
      </c>
      <c r="O21" s="28">
        <f t="shared" si="3"/>
        <v>68.400000000000006</v>
      </c>
      <c r="P21" s="28">
        <v>8.2200000000000006</v>
      </c>
      <c r="Q21" s="28">
        <v>16.600000000000001</v>
      </c>
      <c r="R21" s="28">
        <v>17.100000000000001</v>
      </c>
      <c r="S21" s="28">
        <v>16.72</v>
      </c>
      <c r="T21" s="28">
        <v>18.100000000000001</v>
      </c>
      <c r="U21" s="28">
        <v>6.58</v>
      </c>
      <c r="V21" s="28">
        <f t="shared" si="4"/>
        <v>83.320000000000007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176080</v>
      </c>
      <c r="C22" s="28">
        <v>19.329999999999998</v>
      </c>
      <c r="D22" s="28">
        <v>4971.54</v>
      </c>
      <c r="E22" s="28">
        <v>78.87</v>
      </c>
      <c r="F22" s="28">
        <v>79.53</v>
      </c>
      <c r="G22" s="28">
        <f t="shared" si="0"/>
        <v>158.4</v>
      </c>
      <c r="H22" s="28">
        <v>0</v>
      </c>
      <c r="I22" s="28">
        <v>0</v>
      </c>
      <c r="J22" s="112">
        <v>90</v>
      </c>
      <c r="K22" s="28">
        <f t="shared" si="1"/>
        <v>76.000000000000014</v>
      </c>
      <c r="L22" s="28" t="s">
        <v>97</v>
      </c>
      <c r="M22" s="28"/>
      <c r="N22" s="28">
        <f t="shared" si="2"/>
        <v>9679.5244444444452</v>
      </c>
      <c r="O22" s="28">
        <f t="shared" si="3"/>
        <v>68.400000000000006</v>
      </c>
      <c r="P22" s="28">
        <v>8.23</v>
      </c>
      <c r="Q22" s="28">
        <v>16.579999999999998</v>
      </c>
      <c r="R22" s="28">
        <v>17.100000000000001</v>
      </c>
      <c r="S22" s="28">
        <v>17.309999999999999</v>
      </c>
      <c r="T22" s="28">
        <v>18.899999999999999</v>
      </c>
      <c r="U22" s="28">
        <v>6.52</v>
      </c>
      <c r="V22" s="28">
        <f t="shared" si="4"/>
        <v>84.64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176040</v>
      </c>
      <c r="C23" s="28">
        <v>0</v>
      </c>
      <c r="D23" s="28">
        <v>4797.9699999999993</v>
      </c>
      <c r="E23" s="28">
        <v>78.790000000000006</v>
      </c>
      <c r="F23" s="28">
        <v>79.459999999999994</v>
      </c>
      <c r="G23" s="28">
        <f t="shared" si="0"/>
        <v>158.25</v>
      </c>
      <c r="H23" s="28">
        <v>0</v>
      </c>
      <c r="I23" s="28">
        <v>0</v>
      </c>
      <c r="J23" s="112">
        <v>90</v>
      </c>
      <c r="K23" s="28">
        <f t="shared" si="1"/>
        <v>75.833333333333329</v>
      </c>
      <c r="L23" s="28" t="s">
        <v>97</v>
      </c>
      <c r="M23" s="28"/>
      <c r="N23" s="28">
        <f t="shared" si="2"/>
        <v>9673.8183127962111</v>
      </c>
      <c r="O23" s="28">
        <f t="shared" si="3"/>
        <v>68.25</v>
      </c>
      <c r="P23" s="28">
        <v>8.1999999999999993</v>
      </c>
      <c r="Q23" s="28">
        <v>16.79</v>
      </c>
      <c r="R23" s="28">
        <v>17.3</v>
      </c>
      <c r="S23" s="28">
        <v>17.16</v>
      </c>
      <c r="T23" s="28">
        <v>19.350000000000001</v>
      </c>
      <c r="U23" s="28">
        <v>5.71</v>
      </c>
      <c r="V23" s="28">
        <f t="shared" si="4"/>
        <v>84.51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176940</v>
      </c>
      <c r="C24" s="28">
        <v>0</v>
      </c>
      <c r="D24" s="28">
        <v>7939.23</v>
      </c>
      <c r="E24" s="28">
        <v>78.75</v>
      </c>
      <c r="F24" s="28">
        <v>79.41</v>
      </c>
      <c r="G24" s="28">
        <f t="shared" si="0"/>
        <v>158.16</v>
      </c>
      <c r="H24" s="28">
        <v>0</v>
      </c>
      <c r="I24" s="28">
        <v>0</v>
      </c>
      <c r="J24" s="112">
        <v>90</v>
      </c>
      <c r="K24" s="28">
        <f t="shared" si="1"/>
        <v>75.733333333333334</v>
      </c>
      <c r="L24" s="28" t="s">
        <v>97</v>
      </c>
      <c r="M24" s="28"/>
      <c r="N24" s="28">
        <f t="shared" si="2"/>
        <v>9678.1777946383427</v>
      </c>
      <c r="O24" s="28">
        <f t="shared" si="3"/>
        <v>68.16</v>
      </c>
      <c r="P24" s="28">
        <v>8.19</v>
      </c>
      <c r="Q24" s="28">
        <v>17.71</v>
      </c>
      <c r="R24" s="28">
        <v>18.22</v>
      </c>
      <c r="S24" s="28">
        <v>16.920000000000002</v>
      </c>
      <c r="T24" s="28">
        <v>21.21</v>
      </c>
      <c r="U24" s="28">
        <v>2.25</v>
      </c>
      <c r="V24" s="28">
        <f t="shared" si="4"/>
        <v>84.5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176490</v>
      </c>
      <c r="C25" s="28">
        <v>0</v>
      </c>
      <c r="D25" s="28">
        <v>7505.4400000000005</v>
      </c>
      <c r="E25" s="28">
        <v>78.58</v>
      </c>
      <c r="F25" s="28">
        <v>79.260000000000005</v>
      </c>
      <c r="G25" s="28">
        <f t="shared" si="0"/>
        <v>157.84</v>
      </c>
      <c r="H25" s="28">
        <v>0</v>
      </c>
      <c r="I25" s="28">
        <v>0</v>
      </c>
      <c r="J25" s="112">
        <v>101.87</v>
      </c>
      <c r="K25" s="28">
        <f t="shared" si="1"/>
        <v>54.942573868656126</v>
      </c>
      <c r="L25" s="28" t="s">
        <v>97</v>
      </c>
      <c r="M25" s="28"/>
      <c r="N25" s="28">
        <f t="shared" si="2"/>
        <v>9703.5373796249387</v>
      </c>
      <c r="O25" s="28">
        <f t="shared" si="3"/>
        <v>55.97</v>
      </c>
      <c r="P25" s="28">
        <v>8.09</v>
      </c>
      <c r="Q25" s="28">
        <v>18.3</v>
      </c>
      <c r="R25" s="28">
        <v>18.8</v>
      </c>
      <c r="S25" s="28">
        <v>17.309999999999999</v>
      </c>
      <c r="T25" s="28">
        <v>21.81</v>
      </c>
      <c r="U25" s="28">
        <v>0.24</v>
      </c>
      <c r="V25" s="28">
        <f t="shared" si="4"/>
        <v>84.55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176290</v>
      </c>
      <c r="C26" s="28">
        <v>0</v>
      </c>
      <c r="D26" s="28">
        <v>5089.3</v>
      </c>
      <c r="E26" s="28">
        <v>78.98</v>
      </c>
      <c r="F26" s="28">
        <v>79.66</v>
      </c>
      <c r="G26" s="28">
        <f t="shared" si="0"/>
        <v>158.63999999999999</v>
      </c>
      <c r="H26" s="28">
        <v>0</v>
      </c>
      <c r="I26" s="28">
        <v>0</v>
      </c>
      <c r="J26" s="112">
        <v>126.87</v>
      </c>
      <c r="K26" s="28">
        <f t="shared" si="1"/>
        <v>25.041380941120817</v>
      </c>
      <c r="L26" s="28" t="s">
        <v>97</v>
      </c>
      <c r="M26" s="28"/>
      <c r="N26" s="28">
        <f t="shared" si="2"/>
        <v>9678.5832576903704</v>
      </c>
      <c r="O26" s="28">
        <f t="shared" si="3"/>
        <v>31.769999999999982</v>
      </c>
      <c r="P26" s="28">
        <v>8.1</v>
      </c>
      <c r="Q26" s="28">
        <v>18.170000000000002</v>
      </c>
      <c r="R26" s="28">
        <v>18.66</v>
      </c>
      <c r="S26" s="28">
        <v>17.16</v>
      </c>
      <c r="T26" s="28">
        <v>21.65</v>
      </c>
      <c r="U26" s="28">
        <v>1.02</v>
      </c>
      <c r="V26" s="28">
        <f t="shared" si="4"/>
        <v>84.76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176370</v>
      </c>
      <c r="C27" s="28">
        <v>1.1099999999999999</v>
      </c>
      <c r="D27" s="28">
        <v>4323.05</v>
      </c>
      <c r="E27" s="28">
        <v>79.040000000000006</v>
      </c>
      <c r="F27" s="28">
        <v>79.709999999999994</v>
      </c>
      <c r="G27" s="28">
        <f t="shared" si="0"/>
        <v>158.75</v>
      </c>
      <c r="H27" s="28">
        <v>0</v>
      </c>
      <c r="I27" s="28">
        <v>0</v>
      </c>
      <c r="J27" s="112">
        <v>156.87</v>
      </c>
      <c r="K27" s="28">
        <f t="shared" si="1"/>
        <v>1.1984445719385448</v>
      </c>
      <c r="L27" s="28" t="s">
        <v>97</v>
      </c>
      <c r="M27" s="28"/>
      <c r="N27" s="28">
        <f t="shared" si="2"/>
        <v>9596.5649133858296</v>
      </c>
      <c r="O27" s="28" t="str">
        <f t="shared" si="3"/>
        <v/>
      </c>
      <c r="P27" s="28">
        <v>8.14</v>
      </c>
      <c r="Q27" s="28">
        <v>17.920000000000002</v>
      </c>
      <c r="R27" s="28">
        <v>18.41</v>
      </c>
      <c r="S27" s="28">
        <v>16.920000000000002</v>
      </c>
      <c r="T27" s="28">
        <v>21.42</v>
      </c>
      <c r="U27" s="28">
        <v>1.29</v>
      </c>
      <c r="V27" s="28">
        <f t="shared" si="4"/>
        <v>84.100000000000009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176110</v>
      </c>
      <c r="C28" s="28">
        <v>19.399999999999999</v>
      </c>
      <c r="D28" s="28">
        <v>3453.33</v>
      </c>
      <c r="E28" s="28">
        <v>78.819999999999993</v>
      </c>
      <c r="F28" s="28">
        <v>79.489999999999995</v>
      </c>
      <c r="G28" s="28">
        <f t="shared" si="0"/>
        <v>158.31</v>
      </c>
      <c r="H28" s="28">
        <v>0</v>
      </c>
      <c r="I28" s="28">
        <v>0</v>
      </c>
      <c r="J28" s="112">
        <v>164</v>
      </c>
      <c r="K28" s="28">
        <f t="shared" si="1"/>
        <v>-3.4695121951219496</v>
      </c>
      <c r="L28" s="28"/>
      <c r="M28" s="28"/>
      <c r="N28" s="28">
        <f t="shared" si="2"/>
        <v>9651.8437243383269</v>
      </c>
      <c r="O28" s="28" t="str">
        <f t="shared" si="3"/>
        <v/>
      </c>
      <c r="P28" s="28">
        <v>8.33</v>
      </c>
      <c r="Q28" s="28">
        <v>17.62</v>
      </c>
      <c r="R28" s="28">
        <v>18.12</v>
      </c>
      <c r="S28" s="28">
        <v>16.63</v>
      </c>
      <c r="T28" s="28">
        <v>21.12</v>
      </c>
      <c r="U28" s="28">
        <v>2.5299999999999998</v>
      </c>
      <c r="V28" s="28">
        <f t="shared" si="4"/>
        <v>84.350000000000009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176560</v>
      </c>
      <c r="C29" s="28">
        <v>26.39</v>
      </c>
      <c r="D29" s="28">
        <v>2997.96</v>
      </c>
      <c r="E29" s="28">
        <v>79.010000000000005</v>
      </c>
      <c r="F29" s="28">
        <v>79.69</v>
      </c>
      <c r="G29" s="28">
        <f t="shared" si="0"/>
        <v>158.69999999999999</v>
      </c>
      <c r="H29" s="28">
        <v>0</v>
      </c>
      <c r="I29" s="28">
        <v>0</v>
      </c>
      <c r="J29" s="112">
        <v>164</v>
      </c>
      <c r="K29" s="28">
        <f t="shared" si="1"/>
        <v>-3.2317073170731776</v>
      </c>
      <c r="L29" s="28"/>
      <c r="M29" s="28"/>
      <c r="N29" s="28">
        <f t="shared" si="2"/>
        <v>9608.7199999999993</v>
      </c>
      <c r="O29" s="28" t="str">
        <f t="shared" si="3"/>
        <v/>
      </c>
      <c r="P29" s="28">
        <v>8.14</v>
      </c>
      <c r="Q29" s="28">
        <v>17.59</v>
      </c>
      <c r="R29" s="28">
        <v>18.100000000000001</v>
      </c>
      <c r="S29" s="28">
        <v>16.61</v>
      </c>
      <c r="T29" s="28">
        <v>21.1</v>
      </c>
      <c r="U29" s="28">
        <v>2.64</v>
      </c>
      <c r="V29" s="28">
        <f t="shared" si="4"/>
        <v>84.179999999999993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176090</v>
      </c>
      <c r="C30" s="28">
        <v>57.19</v>
      </c>
      <c r="D30" s="28">
        <v>4603.18</v>
      </c>
      <c r="E30" s="28">
        <v>78.78</v>
      </c>
      <c r="F30" s="28">
        <v>79.47</v>
      </c>
      <c r="G30" s="28">
        <f t="shared" si="0"/>
        <v>158.25</v>
      </c>
      <c r="H30" s="28">
        <v>0</v>
      </c>
      <c r="I30" s="28">
        <v>0</v>
      </c>
      <c r="J30" s="112">
        <v>164</v>
      </c>
      <c r="K30" s="28">
        <f t="shared" si="1"/>
        <v>-3.5060975609756095</v>
      </c>
      <c r="L30" s="28"/>
      <c r="M30" s="28"/>
      <c r="N30" s="28">
        <f t="shared" si="2"/>
        <v>9622.307033175357</v>
      </c>
      <c r="O30" s="28" t="str">
        <f t="shared" si="3"/>
        <v/>
      </c>
      <c r="P30" s="28">
        <v>7.69</v>
      </c>
      <c r="Q30" s="28">
        <v>17.600000000000001</v>
      </c>
      <c r="R30" s="28">
        <v>18.100000000000001</v>
      </c>
      <c r="S30" s="28">
        <v>16.600000000000001</v>
      </c>
      <c r="T30" s="28">
        <v>20.68</v>
      </c>
      <c r="U30" s="28">
        <v>3.39</v>
      </c>
      <c r="V30" s="28">
        <f t="shared" si="4"/>
        <v>84.06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176970</v>
      </c>
      <c r="C31" s="28">
        <v>0</v>
      </c>
      <c r="D31" s="28">
        <v>14674.36</v>
      </c>
      <c r="E31" s="28">
        <v>78.64</v>
      </c>
      <c r="F31" s="28">
        <v>79.3</v>
      </c>
      <c r="G31" s="28">
        <f t="shared" si="0"/>
        <v>157.94</v>
      </c>
      <c r="H31" s="28">
        <v>0</v>
      </c>
      <c r="I31" s="28">
        <v>0</v>
      </c>
      <c r="J31" s="112">
        <v>164</v>
      </c>
      <c r="K31" s="28">
        <f t="shared" si="1"/>
        <v>-3.6951219512195137</v>
      </c>
      <c r="L31" s="28"/>
      <c r="M31" s="28"/>
      <c r="N31" s="28">
        <f t="shared" si="2"/>
        <v>9630.8709383310143</v>
      </c>
      <c r="O31" s="28" t="str">
        <f t="shared" si="3"/>
        <v/>
      </c>
      <c r="P31" s="28">
        <v>7.64</v>
      </c>
      <c r="Q31" s="28">
        <v>17.600000000000001</v>
      </c>
      <c r="R31" s="28">
        <v>18.100000000000001</v>
      </c>
      <c r="S31" s="28">
        <v>16.600000000000001</v>
      </c>
      <c r="T31" s="28">
        <v>20.059999999999999</v>
      </c>
      <c r="U31" s="28">
        <v>3.97</v>
      </c>
      <c r="V31" s="28">
        <f t="shared" si="4"/>
        <v>83.97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176070</v>
      </c>
      <c r="C32" s="28">
        <v>0</v>
      </c>
      <c r="D32" s="28">
        <v>18189.8</v>
      </c>
      <c r="E32" s="28">
        <v>78.73</v>
      </c>
      <c r="F32" s="28">
        <v>79.41</v>
      </c>
      <c r="G32" s="28">
        <f t="shared" si="0"/>
        <v>158.13999999999999</v>
      </c>
      <c r="H32" s="28">
        <v>0</v>
      </c>
      <c r="I32" s="28">
        <v>0</v>
      </c>
      <c r="J32" s="112">
        <v>164</v>
      </c>
      <c r="K32" s="28">
        <f t="shared" si="1"/>
        <v>-3.5731707317073256</v>
      </c>
      <c r="L32" s="28"/>
      <c r="M32" s="28"/>
      <c r="N32" s="28">
        <f t="shared" si="2"/>
        <v>9670.2378651827512</v>
      </c>
      <c r="O32" s="28" t="str">
        <f t="shared" si="3"/>
        <v/>
      </c>
      <c r="P32" s="28">
        <v>8.17</v>
      </c>
      <c r="Q32" s="28">
        <v>17.59</v>
      </c>
      <c r="R32" s="28">
        <v>18.100000000000001</v>
      </c>
      <c r="S32" s="28">
        <v>16.600000000000001</v>
      </c>
      <c r="T32" s="28">
        <v>20.6</v>
      </c>
      <c r="U32" s="28">
        <v>3.36</v>
      </c>
      <c r="V32" s="28">
        <f t="shared" si="4"/>
        <v>84.42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176060</v>
      </c>
      <c r="C33" s="28">
        <v>0</v>
      </c>
      <c r="D33" s="28">
        <v>19591.04</v>
      </c>
      <c r="E33" s="28">
        <v>78.64</v>
      </c>
      <c r="F33" s="28">
        <v>79.319999999999993</v>
      </c>
      <c r="G33" s="28">
        <f t="shared" si="0"/>
        <v>157.95999999999998</v>
      </c>
      <c r="H33" s="28">
        <v>0</v>
      </c>
      <c r="I33" s="28">
        <v>0</v>
      </c>
      <c r="J33" s="112">
        <v>164</v>
      </c>
      <c r="K33" s="28">
        <f t="shared" si="1"/>
        <v>-3.6829268292683053</v>
      </c>
      <c r="L33" s="28"/>
      <c r="M33" s="28"/>
      <c r="N33" s="28">
        <f t="shared" si="2"/>
        <v>9716.8080779944321</v>
      </c>
      <c r="O33" s="28" t="str">
        <f t="shared" si="3"/>
        <v/>
      </c>
      <c r="P33" s="28">
        <v>8.16</v>
      </c>
      <c r="Q33" s="28">
        <v>17.59</v>
      </c>
      <c r="R33" s="28">
        <v>18.09</v>
      </c>
      <c r="S33" s="28">
        <v>16.600000000000001</v>
      </c>
      <c r="T33" s="28">
        <v>20.6</v>
      </c>
      <c r="U33" s="28">
        <v>3.69</v>
      </c>
      <c r="V33" s="28">
        <f t="shared" si="4"/>
        <v>84.73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176060</v>
      </c>
      <c r="C34" s="28">
        <v>0</v>
      </c>
      <c r="D34" s="28">
        <v>19586.099999999999</v>
      </c>
      <c r="E34" s="28">
        <v>78.61</v>
      </c>
      <c r="F34" s="28">
        <v>79.290000000000006</v>
      </c>
      <c r="G34" s="28">
        <f t="shared" si="0"/>
        <v>157.9</v>
      </c>
      <c r="H34" s="28">
        <v>0</v>
      </c>
      <c r="I34" s="28">
        <v>0</v>
      </c>
      <c r="J34" s="112">
        <v>164</v>
      </c>
      <c r="K34" s="28">
        <f t="shared" si="1"/>
        <v>-3.7195121951219479</v>
      </c>
      <c r="L34" s="28"/>
      <c r="M34" s="28"/>
      <c r="N34" s="28">
        <f t="shared" si="2"/>
        <v>9719.3531095630151</v>
      </c>
      <c r="O34" s="28" t="str">
        <f t="shared" si="3"/>
        <v/>
      </c>
      <c r="P34" s="28">
        <v>8.0299999999999994</v>
      </c>
      <c r="Q34" s="28">
        <v>17.600000000000001</v>
      </c>
      <c r="R34" s="28">
        <v>18.100000000000001</v>
      </c>
      <c r="S34" s="28">
        <v>16.61</v>
      </c>
      <c r="T34" s="28">
        <v>20.6</v>
      </c>
      <c r="U34" s="28">
        <v>3.78</v>
      </c>
      <c r="V34" s="28">
        <f t="shared" si="4"/>
        <v>84.72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176130</v>
      </c>
      <c r="C35" s="28">
        <v>0</v>
      </c>
      <c r="D35" s="28">
        <v>20650.769999999997</v>
      </c>
      <c r="E35" s="28">
        <v>78.67</v>
      </c>
      <c r="F35" s="28">
        <v>79.349999999999994</v>
      </c>
      <c r="G35" s="28">
        <f t="shared" si="0"/>
        <v>158.01999999999998</v>
      </c>
      <c r="H35" s="28">
        <v>0</v>
      </c>
      <c r="I35" s="28">
        <v>0</v>
      </c>
      <c r="J35" s="112">
        <v>164</v>
      </c>
      <c r="K35" s="116">
        <f t="shared" si="1"/>
        <v>-3.6463414634146454</v>
      </c>
      <c r="L35" s="28"/>
      <c r="M35" s="28"/>
      <c r="N35" s="28">
        <f t="shared" si="2"/>
        <v>9752.0948993798283</v>
      </c>
      <c r="O35" s="28" t="str">
        <f t="shared" si="3"/>
        <v/>
      </c>
      <c r="P35" s="28">
        <v>8.36</v>
      </c>
      <c r="Q35" s="28">
        <v>17.600000000000001</v>
      </c>
      <c r="R35" s="28">
        <v>18.100000000000001</v>
      </c>
      <c r="S35" s="28">
        <v>16.600000000000001</v>
      </c>
      <c r="T35" s="28">
        <v>20.6</v>
      </c>
      <c r="U35" s="28">
        <v>3.81</v>
      </c>
      <c r="V35" s="28">
        <f t="shared" si="4"/>
        <v>85.070000000000007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4232420</v>
      </c>
      <c r="C36" s="35">
        <f t="shared" ref="C36:J36" si="5">SUM(C12:C35)</f>
        <v>282.39000000000004</v>
      </c>
      <c r="D36" s="35">
        <f t="shared" si="5"/>
        <v>187620.23000000004</v>
      </c>
      <c r="E36" s="35">
        <f t="shared" si="5"/>
        <v>1888.52</v>
      </c>
      <c r="F36" s="35">
        <f t="shared" si="5"/>
        <v>1904.64</v>
      </c>
      <c r="G36" s="35">
        <f t="shared" si="5"/>
        <v>3793.1600000000003</v>
      </c>
      <c r="H36" s="35">
        <f t="shared" si="5"/>
        <v>0</v>
      </c>
      <c r="I36" s="35">
        <f t="shared" si="5"/>
        <v>0</v>
      </c>
      <c r="J36" s="35">
        <f t="shared" si="5"/>
        <v>3087.16</v>
      </c>
      <c r="K36" s="36"/>
      <c r="L36" s="37"/>
      <c r="M36" s="38"/>
      <c r="N36" s="35">
        <f>IFERROR(AVERAGE(N12:N35),"")</f>
        <v>9659.0341651805447</v>
      </c>
      <c r="O36" s="39">
        <f t="shared" ref="O36:U36" si="6">SUM(O12:O35)</f>
        <v>752.33</v>
      </c>
      <c r="P36" s="39">
        <f t="shared" si="6"/>
        <v>194.69</v>
      </c>
      <c r="Q36" s="39">
        <f t="shared" si="6"/>
        <v>411.92000000000007</v>
      </c>
      <c r="R36" s="39">
        <f t="shared" si="6"/>
        <v>423.96000000000015</v>
      </c>
      <c r="S36" s="39">
        <f t="shared" si="6"/>
        <v>408.82000000000016</v>
      </c>
      <c r="T36" s="39">
        <f t="shared" si="6"/>
        <v>470.38000000000005</v>
      </c>
      <c r="U36" s="39">
        <f t="shared" si="6"/>
        <v>112.64999999999999</v>
      </c>
      <c r="V36" s="39">
        <f>SUM(V12:V35)</f>
        <v>2022.42</v>
      </c>
      <c r="W36" s="40">
        <f>SUM(W12:W35)</f>
        <v>0</v>
      </c>
      <c r="X36" s="40">
        <f>SUM(X12:X35)</f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0</v>
      </c>
      <c r="J41" s="41"/>
      <c r="K41" s="13" t="s">
        <v>59</v>
      </c>
      <c r="L41" s="113">
        <v>383538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1</v>
      </c>
      <c r="B42" s="57">
        <v>0</v>
      </c>
      <c r="C42" s="57">
        <v>0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158977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>
        <f>IFERROR(3412.14/N36,"")</f>
        <v>0.35325892233617756</v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11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José Leal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1784.95</v>
      </c>
      <c r="D58" s="81">
        <v>0</v>
      </c>
      <c r="E58" s="82">
        <v>0</v>
      </c>
      <c r="F58" s="83">
        <v>5572.97</v>
      </c>
      <c r="G58" s="82">
        <v>0</v>
      </c>
      <c r="H58" s="84">
        <f t="shared" ref="H58:H81" si="7">IF(G58=0,0,100*(E58-G58)/G58)</f>
        <v>0</v>
      </c>
      <c r="I58" s="85"/>
      <c r="J58" s="85"/>
      <c r="K58" s="86" t="str">
        <f t="shared" ref="K58:K81" si="8">IFERROR(U58*1000*2.2*$K$92/E58/1000,"")</f>
        <v/>
      </c>
      <c r="L58" s="87"/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1790.63</v>
      </c>
      <c r="D59" s="81">
        <v>0</v>
      </c>
      <c r="E59" s="82">
        <v>0</v>
      </c>
      <c r="F59" s="82">
        <v>5559.42</v>
      </c>
      <c r="G59" s="82">
        <v>0</v>
      </c>
      <c r="H59" s="91">
        <f t="shared" si="7"/>
        <v>0</v>
      </c>
      <c r="I59" s="85"/>
      <c r="J59" s="85"/>
      <c r="K59" s="86" t="str">
        <f t="shared" si="8"/>
        <v/>
      </c>
      <c r="L59" s="87" t="str">
        <f t="shared" ref="L59:L81" si="9">IF(OR(H59&gt;5,H59&lt;-5),E59-G59,"")</f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10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1841.15</v>
      </c>
      <c r="D60" s="81">
        <v>0</v>
      </c>
      <c r="E60" s="82">
        <v>0</v>
      </c>
      <c r="F60" s="82">
        <v>5453.75</v>
      </c>
      <c r="G60" s="82">
        <v>0</v>
      </c>
      <c r="H60" s="91">
        <f t="shared" si="7"/>
        <v>0</v>
      </c>
      <c r="I60" s="85"/>
      <c r="J60" s="85"/>
      <c r="K60" s="86" t="str">
        <f t="shared" si="8"/>
        <v/>
      </c>
      <c r="L60" s="87" t="str">
        <f t="shared" si="9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10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1861.54</v>
      </c>
      <c r="D61" s="81">
        <v>0</v>
      </c>
      <c r="E61" s="82">
        <v>0</v>
      </c>
      <c r="F61" s="82">
        <v>5418.19</v>
      </c>
      <c r="G61" s="82">
        <v>0</v>
      </c>
      <c r="H61" s="91">
        <f t="shared" si="7"/>
        <v>0</v>
      </c>
      <c r="I61" s="85"/>
      <c r="J61" s="85"/>
      <c r="K61" s="86" t="str">
        <f t="shared" si="8"/>
        <v/>
      </c>
      <c r="L61" s="87" t="str">
        <f t="shared" si="9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10"/>
        <v>0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1954.77</v>
      </c>
      <c r="D62" s="81">
        <v>0</v>
      </c>
      <c r="E62" s="82">
        <v>0</v>
      </c>
      <c r="F62" s="82">
        <v>5352.5</v>
      </c>
      <c r="G62" s="82">
        <v>0</v>
      </c>
      <c r="H62" s="91">
        <f t="shared" si="7"/>
        <v>0</v>
      </c>
      <c r="I62" s="85"/>
      <c r="J62" s="85"/>
      <c r="K62" s="86" t="str">
        <f t="shared" si="8"/>
        <v/>
      </c>
      <c r="L62" s="87" t="str">
        <f t="shared" si="9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10"/>
        <v>0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1973.83</v>
      </c>
      <c r="D63" s="81">
        <v>0</v>
      </c>
      <c r="E63" s="82">
        <v>0</v>
      </c>
      <c r="F63" s="82">
        <v>5314.67</v>
      </c>
      <c r="G63" s="82">
        <v>0</v>
      </c>
      <c r="H63" s="91">
        <f t="shared" si="7"/>
        <v>0</v>
      </c>
      <c r="I63" s="85"/>
      <c r="J63" s="85"/>
      <c r="K63" s="86" t="str">
        <f t="shared" si="8"/>
        <v/>
      </c>
      <c r="L63" s="87" t="str">
        <f t="shared" si="9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10"/>
        <v>0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2003.6</v>
      </c>
      <c r="D64" s="81">
        <v>0</v>
      </c>
      <c r="E64" s="82">
        <v>0</v>
      </c>
      <c r="F64" s="82">
        <v>5209.84</v>
      </c>
      <c r="G64" s="82">
        <v>0</v>
      </c>
      <c r="H64" s="91">
        <f t="shared" si="7"/>
        <v>0</v>
      </c>
      <c r="I64" s="85"/>
      <c r="J64" s="85"/>
      <c r="K64" s="86" t="str">
        <f t="shared" si="8"/>
        <v/>
      </c>
      <c r="L64" s="87" t="str">
        <f t="shared" si="9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10"/>
        <v>0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2078.1</v>
      </c>
      <c r="D65" s="81">
        <v>0</v>
      </c>
      <c r="E65" s="82">
        <v>0</v>
      </c>
      <c r="F65" s="82">
        <v>4882.26</v>
      </c>
      <c r="G65" s="82">
        <v>0</v>
      </c>
      <c r="H65" s="91">
        <f t="shared" si="7"/>
        <v>0</v>
      </c>
      <c r="I65" s="85"/>
      <c r="J65" s="85"/>
      <c r="K65" s="86" t="str">
        <f t="shared" si="8"/>
        <v/>
      </c>
      <c r="L65" s="87" t="str">
        <f t="shared" si="9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10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2093.52</v>
      </c>
      <c r="D66" s="81">
        <v>0</v>
      </c>
      <c r="E66" s="82">
        <v>0</v>
      </c>
      <c r="F66" s="82">
        <v>4788.75</v>
      </c>
      <c r="G66" s="82">
        <v>0</v>
      </c>
      <c r="H66" s="91">
        <f t="shared" si="7"/>
        <v>0</v>
      </c>
      <c r="I66" s="85"/>
      <c r="J66" s="85"/>
      <c r="K66" s="86" t="str">
        <f t="shared" si="8"/>
        <v/>
      </c>
      <c r="L66" s="87" t="str">
        <f t="shared" si="9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10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2102.5700000000002</v>
      </c>
      <c r="D67" s="81">
        <v>0</v>
      </c>
      <c r="E67" s="82">
        <v>0</v>
      </c>
      <c r="F67" s="82">
        <v>4811.76</v>
      </c>
      <c r="G67" s="82">
        <v>0</v>
      </c>
      <c r="H67" s="91">
        <f t="shared" si="7"/>
        <v>0</v>
      </c>
      <c r="I67" s="85"/>
      <c r="J67" s="85"/>
      <c r="K67" s="86" t="str">
        <f t="shared" si="8"/>
        <v/>
      </c>
      <c r="L67" s="87" t="str">
        <f t="shared" si="9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10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2007.17</v>
      </c>
      <c r="D68" s="81">
        <v>0</v>
      </c>
      <c r="E68" s="82">
        <v>0</v>
      </c>
      <c r="F68" s="82">
        <v>4962.32</v>
      </c>
      <c r="G68" s="82">
        <v>0</v>
      </c>
      <c r="H68" s="91">
        <f t="shared" si="7"/>
        <v>0</v>
      </c>
      <c r="I68" s="85"/>
      <c r="J68" s="85"/>
      <c r="K68" s="86" t="str">
        <f t="shared" si="8"/>
        <v/>
      </c>
      <c r="L68" s="87" t="str">
        <f t="shared" si="9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10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1913.84</v>
      </c>
      <c r="D69" s="81">
        <v>0</v>
      </c>
      <c r="E69" s="82">
        <v>0</v>
      </c>
      <c r="F69" s="82">
        <v>5070.46</v>
      </c>
      <c r="G69" s="82">
        <v>0</v>
      </c>
      <c r="H69" s="91">
        <f t="shared" si="7"/>
        <v>0</v>
      </c>
      <c r="I69" s="85"/>
      <c r="J69" s="85"/>
      <c r="K69" s="86" t="str">
        <f t="shared" si="8"/>
        <v/>
      </c>
      <c r="L69" s="87" t="str">
        <f t="shared" si="9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10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1903.45</v>
      </c>
      <c r="D70" s="81">
        <v>0</v>
      </c>
      <c r="E70" s="82">
        <v>0</v>
      </c>
      <c r="F70" s="82">
        <v>5013.1099999999997</v>
      </c>
      <c r="G70" s="82">
        <v>0</v>
      </c>
      <c r="H70" s="91">
        <f t="shared" si="7"/>
        <v>0</v>
      </c>
      <c r="I70" s="85"/>
      <c r="J70" s="85"/>
      <c r="K70" s="86" t="str">
        <f t="shared" si="8"/>
        <v/>
      </c>
      <c r="L70" s="87" t="str">
        <f t="shared" si="9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10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1870.34</v>
      </c>
      <c r="D71" s="81">
        <v>40.03</v>
      </c>
      <c r="E71" s="82">
        <v>0</v>
      </c>
      <c r="F71" s="82">
        <v>5172.3100000000004</v>
      </c>
      <c r="G71" s="82">
        <v>0</v>
      </c>
      <c r="H71" s="91">
        <f t="shared" si="7"/>
        <v>0</v>
      </c>
      <c r="I71" s="85"/>
      <c r="J71" s="85"/>
      <c r="K71" s="86" t="str">
        <f t="shared" si="8"/>
        <v/>
      </c>
      <c r="L71" s="87" t="str">
        <f t="shared" si="9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10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1997.02</v>
      </c>
      <c r="D72" s="81">
        <v>0</v>
      </c>
      <c r="E72" s="82">
        <v>0</v>
      </c>
      <c r="F72" s="82">
        <v>5149.0200000000004</v>
      </c>
      <c r="G72" s="82">
        <v>0</v>
      </c>
      <c r="H72" s="91">
        <f t="shared" si="7"/>
        <v>0</v>
      </c>
      <c r="I72" s="85"/>
      <c r="J72" s="85"/>
      <c r="K72" s="86" t="str">
        <f t="shared" si="8"/>
        <v/>
      </c>
      <c r="L72" s="87" t="str">
        <f t="shared" si="9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10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2125.88</v>
      </c>
      <c r="D73" s="81">
        <v>0</v>
      </c>
      <c r="E73" s="82">
        <v>0</v>
      </c>
      <c r="F73" s="82">
        <v>4884.7299999999996</v>
      </c>
      <c r="G73" s="82">
        <v>0</v>
      </c>
      <c r="H73" s="91">
        <f t="shared" si="7"/>
        <v>0</v>
      </c>
      <c r="I73" s="85"/>
      <c r="J73" s="85"/>
      <c r="K73" s="86" t="str">
        <f t="shared" si="8"/>
        <v/>
      </c>
      <c r="L73" s="87" t="str">
        <f t="shared" si="9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10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2135.38</v>
      </c>
      <c r="D74" s="81">
        <v>0</v>
      </c>
      <c r="E74" s="82">
        <v>0</v>
      </c>
      <c r="F74" s="82">
        <v>4899.99</v>
      </c>
      <c r="G74" s="82">
        <v>0</v>
      </c>
      <c r="H74" s="91">
        <f t="shared" si="7"/>
        <v>0</v>
      </c>
      <c r="I74" s="85"/>
      <c r="J74" s="85"/>
      <c r="K74" s="86" t="str">
        <f t="shared" si="8"/>
        <v/>
      </c>
      <c r="L74" s="87" t="str">
        <f t="shared" si="9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10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2188.65</v>
      </c>
      <c r="D75" s="81">
        <v>0</v>
      </c>
      <c r="E75" s="82">
        <v>0</v>
      </c>
      <c r="F75" s="82">
        <v>4785.29</v>
      </c>
      <c r="G75" s="82">
        <v>0</v>
      </c>
      <c r="H75" s="91">
        <f t="shared" si="7"/>
        <v>0</v>
      </c>
      <c r="I75" s="85"/>
      <c r="J75" s="85"/>
      <c r="K75" s="86" t="str">
        <f t="shared" si="8"/>
        <v/>
      </c>
      <c r="L75" s="87" t="str">
        <f t="shared" si="9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10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2202.92</v>
      </c>
      <c r="D76" s="81">
        <v>0</v>
      </c>
      <c r="E76" s="82">
        <v>0</v>
      </c>
      <c r="F76" s="82">
        <v>4722.9799999999996</v>
      </c>
      <c r="G76" s="82">
        <v>0</v>
      </c>
      <c r="H76" s="91">
        <f t="shared" si="7"/>
        <v>0</v>
      </c>
      <c r="I76" s="85"/>
      <c r="J76" s="85"/>
      <c r="K76" s="86" t="str">
        <f t="shared" si="8"/>
        <v/>
      </c>
      <c r="L76" s="87" t="str">
        <f t="shared" si="9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10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2196.83</v>
      </c>
      <c r="D77" s="81">
        <v>0</v>
      </c>
      <c r="E77" s="82">
        <v>0</v>
      </c>
      <c r="F77" s="82">
        <v>4816.62</v>
      </c>
      <c r="G77" s="82">
        <v>0</v>
      </c>
      <c r="H77" s="91">
        <f t="shared" si="7"/>
        <v>0</v>
      </c>
      <c r="I77" s="85"/>
      <c r="J77" s="85"/>
      <c r="K77" s="86" t="str">
        <f t="shared" si="8"/>
        <v/>
      </c>
      <c r="L77" s="87" t="str">
        <f t="shared" si="9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10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2210.5</v>
      </c>
      <c r="D78" s="81">
        <v>0</v>
      </c>
      <c r="E78" s="82">
        <v>0</v>
      </c>
      <c r="F78" s="82">
        <v>4799.38</v>
      </c>
      <c r="G78" s="82">
        <v>0</v>
      </c>
      <c r="H78" s="91">
        <f t="shared" si="7"/>
        <v>0</v>
      </c>
      <c r="I78" s="85"/>
      <c r="J78" s="85"/>
      <c r="K78" s="86" t="str">
        <f t="shared" si="8"/>
        <v/>
      </c>
      <c r="L78" s="87" t="str">
        <f t="shared" si="9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0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2220.69</v>
      </c>
      <c r="D79" s="81">
        <v>0</v>
      </c>
      <c r="E79" s="82">
        <v>0</v>
      </c>
      <c r="F79" s="82">
        <v>4787.68</v>
      </c>
      <c r="G79" s="82">
        <v>0</v>
      </c>
      <c r="H79" s="91">
        <f t="shared" si="7"/>
        <v>0</v>
      </c>
      <c r="I79" s="85"/>
      <c r="J79" s="85"/>
      <c r="K79" s="86" t="str">
        <f t="shared" si="8"/>
        <v/>
      </c>
      <c r="L79" s="87" t="str">
        <f t="shared" si="9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0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2233.1999999999998</v>
      </c>
      <c r="D80" s="81">
        <v>0</v>
      </c>
      <c r="E80" s="82">
        <v>0</v>
      </c>
      <c r="F80" s="82">
        <v>4731.88</v>
      </c>
      <c r="G80" s="82">
        <v>0</v>
      </c>
      <c r="H80" s="91">
        <f t="shared" si="7"/>
        <v>0</v>
      </c>
      <c r="I80" s="85"/>
      <c r="J80" s="85"/>
      <c r="K80" s="86" t="str">
        <f t="shared" si="8"/>
        <v/>
      </c>
      <c r="L80" s="87" t="str">
        <f t="shared" si="9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0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2196.52</v>
      </c>
      <c r="D81" s="28">
        <v>0</v>
      </c>
      <c r="E81" s="96">
        <v>0</v>
      </c>
      <c r="F81" s="97">
        <v>4802.04</v>
      </c>
      <c r="G81" s="82">
        <v>0</v>
      </c>
      <c r="H81" s="98">
        <f t="shared" si="7"/>
        <v>0</v>
      </c>
      <c r="I81" s="115"/>
      <c r="J81" s="85"/>
      <c r="K81" s="99" t="str">
        <f t="shared" si="8"/>
        <v/>
      </c>
      <c r="L81" s="87" t="str">
        <f t="shared" si="9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0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1">SUM(B58:B81)</f>
        <v>0</v>
      </c>
      <c r="C82" s="35">
        <f t="shared" si="11"/>
        <v>48887.05</v>
      </c>
      <c r="D82" s="35">
        <f t="shared" si="11"/>
        <v>40.03</v>
      </c>
      <c r="E82" s="35">
        <f t="shared" si="11"/>
        <v>0</v>
      </c>
      <c r="F82" s="101">
        <f t="shared" si="11"/>
        <v>120961.92</v>
      </c>
      <c r="G82" s="35">
        <f t="shared" si="11"/>
        <v>0</v>
      </c>
      <c r="H82" s="102"/>
      <c r="I82" s="103"/>
      <c r="J82" s="104"/>
      <c r="K82" s="105" t="str">
        <f>IFERROR(AVERAGE(K58:K81),"")</f>
        <v/>
      </c>
      <c r="L82" s="40">
        <f t="shared" ref="L82:U82" si="12">SUM(L58:L81)</f>
        <v>0</v>
      </c>
      <c r="M82" s="40">
        <f t="shared" si="12"/>
        <v>0</v>
      </c>
      <c r="N82" s="39">
        <f t="shared" si="12"/>
        <v>0</v>
      </c>
      <c r="O82" s="39">
        <f t="shared" si="12"/>
        <v>0</v>
      </c>
      <c r="P82" s="39">
        <f t="shared" si="12"/>
        <v>0</v>
      </c>
      <c r="Q82" s="39">
        <f t="shared" si="12"/>
        <v>0</v>
      </c>
      <c r="R82" s="39">
        <f t="shared" si="12"/>
        <v>0</v>
      </c>
      <c r="S82" s="39">
        <f t="shared" si="12"/>
        <v>0</v>
      </c>
      <c r="T82" s="39">
        <f t="shared" si="12"/>
        <v>0</v>
      </c>
      <c r="U82" s="39">
        <f t="shared" si="12"/>
        <v>0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120961.92</v>
      </c>
      <c r="J87" s="41"/>
      <c r="K87" s="62" t="s">
        <v>59</v>
      </c>
      <c r="L87" s="113">
        <v>7287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</v>
      </c>
      <c r="B88" s="57">
        <v>0</v>
      </c>
      <c r="C88" s="57">
        <v>1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1858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 t="str">
        <f>IFERROR(3412.14/K82,"")</f>
        <v/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K90:L90"/>
    <mergeCell ref="B91:B92"/>
    <mergeCell ref="C91:I92"/>
    <mergeCell ref="K91:L91"/>
    <mergeCell ref="K92:L92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A85:A86"/>
    <mergeCell ref="B85:B86"/>
    <mergeCell ref="C85:C86"/>
    <mergeCell ref="D85:D86"/>
    <mergeCell ref="H85:I8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H41:H42"/>
    <mergeCell ref="I41:I42"/>
    <mergeCell ref="K44:L44"/>
    <mergeCell ref="C45:I46"/>
    <mergeCell ref="K45:L45"/>
    <mergeCell ref="K46:L46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A39:A40"/>
    <mergeCell ref="B39:B40"/>
    <mergeCell ref="C39:C40"/>
    <mergeCell ref="D39:D40"/>
    <mergeCell ref="H39:I40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1:C1"/>
    <mergeCell ref="D1:U2"/>
    <mergeCell ref="V1:X4"/>
    <mergeCell ref="A2:C2"/>
    <mergeCell ref="A3:C3"/>
    <mergeCell ref="D3:U4"/>
    <mergeCell ref="A4:C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DB55-D53C-4274-B068-D65AA4FAA6A1}">
  <dimension ref="A1:Z109"/>
  <sheetViews>
    <sheetView topLeftCell="A3" zoomScale="85" zoomScaleNormal="85" workbookViewId="0">
      <selection activeCell="L87" sqref="L87:L88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12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81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176100</v>
      </c>
      <c r="C12" s="28">
        <v>0</v>
      </c>
      <c r="D12" s="28">
        <v>21959.79</v>
      </c>
      <c r="E12" s="28">
        <v>78.7</v>
      </c>
      <c r="F12" s="28">
        <v>79.38</v>
      </c>
      <c r="G12" s="28">
        <f t="shared" ref="G12:G35" si="0">+E12+F12</f>
        <v>158.07999999999998</v>
      </c>
      <c r="H12" s="28">
        <v>0</v>
      </c>
      <c r="I12" s="28">
        <v>0</v>
      </c>
      <c r="J12" s="112">
        <v>164</v>
      </c>
      <c r="K12" s="28">
        <f t="shared" ref="K12:K35" si="1">IF(J12=0,0,100*(G12-J12)/J12)</f>
        <v>-3.6097560975609855</v>
      </c>
      <c r="L12" s="28"/>
      <c r="M12" s="28"/>
      <c r="N12" s="28">
        <f t="shared" ref="N12:N35" si="2">IFERROR(V12*1000*2.2*$K$46/G12/1000,"")</f>
        <v>9743.8097419028363</v>
      </c>
      <c r="O12" s="28" t="str">
        <f t="shared" ref="O12:O35" si="3">IF(OR(K12&gt;5,K12&lt;-5),G12-J12,"")</f>
        <v/>
      </c>
      <c r="P12" s="28">
        <v>8.3699999999999992</v>
      </c>
      <c r="Q12" s="28">
        <v>17.59</v>
      </c>
      <c r="R12" s="28">
        <v>18.100000000000001</v>
      </c>
      <c r="S12" s="28">
        <v>16.600000000000001</v>
      </c>
      <c r="T12" s="28">
        <v>20.6</v>
      </c>
      <c r="U12" s="28">
        <v>3.77</v>
      </c>
      <c r="V12" s="28">
        <f t="shared" ref="V12:V35" si="4">+SUM(P12:U12)</f>
        <v>85.03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176160</v>
      </c>
      <c r="C13" s="28">
        <v>0</v>
      </c>
      <c r="D13" s="28">
        <v>17864.949999999997</v>
      </c>
      <c r="E13" s="28">
        <v>78.84</v>
      </c>
      <c r="F13" s="28">
        <v>79.52</v>
      </c>
      <c r="G13" s="28">
        <f t="shared" si="0"/>
        <v>158.36000000000001</v>
      </c>
      <c r="H13" s="28">
        <v>0</v>
      </c>
      <c r="I13" s="28">
        <v>0</v>
      </c>
      <c r="J13" s="112">
        <v>164</v>
      </c>
      <c r="K13" s="28">
        <f t="shared" si="1"/>
        <v>-3.4390243902438939</v>
      </c>
      <c r="L13" s="28"/>
      <c r="M13" s="28"/>
      <c r="N13" s="28">
        <f t="shared" si="2"/>
        <v>9772.3374842131871</v>
      </c>
      <c r="O13" s="28" t="str">
        <f t="shared" si="3"/>
        <v/>
      </c>
      <c r="P13" s="28">
        <v>8.66</v>
      </c>
      <c r="Q13" s="28">
        <v>17.600000000000001</v>
      </c>
      <c r="R13" s="28">
        <v>18.170000000000002</v>
      </c>
      <c r="S13" s="28">
        <v>16.61</v>
      </c>
      <c r="T13" s="28">
        <v>20.6</v>
      </c>
      <c r="U13" s="28">
        <v>3.79</v>
      </c>
      <c r="V13" s="28">
        <f t="shared" si="4"/>
        <v>85.430000000000021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176640</v>
      </c>
      <c r="C14" s="28">
        <v>557.97</v>
      </c>
      <c r="D14" s="28">
        <v>13794.33</v>
      </c>
      <c r="E14" s="28">
        <v>79.069999999999993</v>
      </c>
      <c r="F14" s="28">
        <v>79.75</v>
      </c>
      <c r="G14" s="28">
        <f t="shared" si="0"/>
        <v>158.82</v>
      </c>
      <c r="H14" s="28">
        <v>0</v>
      </c>
      <c r="I14" s="28">
        <v>0</v>
      </c>
      <c r="J14" s="112">
        <v>164</v>
      </c>
      <c r="K14" s="28">
        <f t="shared" si="1"/>
        <v>-3.1585365853658578</v>
      </c>
      <c r="L14" s="28"/>
      <c r="M14" s="28"/>
      <c r="N14" s="28">
        <f t="shared" si="2"/>
        <v>9740.6115098854061</v>
      </c>
      <c r="O14" s="28" t="str">
        <f t="shared" si="3"/>
        <v/>
      </c>
      <c r="P14" s="28">
        <v>8.64</v>
      </c>
      <c r="Q14" s="28">
        <v>17.600000000000001</v>
      </c>
      <c r="R14" s="28">
        <v>18.100000000000001</v>
      </c>
      <c r="S14" s="28">
        <v>16.61</v>
      </c>
      <c r="T14" s="28">
        <v>20.6</v>
      </c>
      <c r="U14" s="28">
        <v>3.85</v>
      </c>
      <c r="V14" s="28">
        <f t="shared" si="4"/>
        <v>85.4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176050</v>
      </c>
      <c r="C15" s="28">
        <v>3106.95</v>
      </c>
      <c r="D15" s="28">
        <v>6.27</v>
      </c>
      <c r="E15" s="28">
        <v>78.84</v>
      </c>
      <c r="F15" s="28">
        <v>79.52</v>
      </c>
      <c r="G15" s="28">
        <f t="shared" si="0"/>
        <v>158.36000000000001</v>
      </c>
      <c r="H15" s="28">
        <v>0</v>
      </c>
      <c r="I15" s="28">
        <v>0</v>
      </c>
      <c r="J15" s="112">
        <v>164</v>
      </c>
      <c r="K15" s="28">
        <f t="shared" si="1"/>
        <v>-3.4390243902438939</v>
      </c>
      <c r="L15" s="28"/>
      <c r="M15" s="28"/>
      <c r="N15" s="28">
        <f t="shared" si="2"/>
        <v>9768.9057842889597</v>
      </c>
      <c r="O15" s="28" t="str">
        <f t="shared" si="3"/>
        <v/>
      </c>
      <c r="P15" s="28">
        <v>8.6999999999999993</v>
      </c>
      <c r="Q15" s="28">
        <v>17.600000000000001</v>
      </c>
      <c r="R15" s="28">
        <v>18.09</v>
      </c>
      <c r="S15" s="28">
        <v>16.600000000000001</v>
      </c>
      <c r="T15" s="28">
        <v>20.59</v>
      </c>
      <c r="U15" s="28">
        <v>3.82</v>
      </c>
      <c r="V15" s="28">
        <f t="shared" si="4"/>
        <v>85.399999999999991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176700</v>
      </c>
      <c r="C16" s="28">
        <v>2150.41</v>
      </c>
      <c r="D16" s="28">
        <v>42.08</v>
      </c>
      <c r="E16" s="28">
        <v>79.12</v>
      </c>
      <c r="F16" s="28">
        <v>79.790000000000006</v>
      </c>
      <c r="G16" s="28">
        <f t="shared" si="0"/>
        <v>158.91000000000003</v>
      </c>
      <c r="H16" s="28">
        <v>0</v>
      </c>
      <c r="I16" s="28">
        <v>0</v>
      </c>
      <c r="J16" s="112">
        <v>164</v>
      </c>
      <c r="K16" s="28">
        <f t="shared" si="1"/>
        <v>-3.1036585365853506</v>
      </c>
      <c r="L16" s="28"/>
      <c r="M16" s="28"/>
      <c r="N16" s="28">
        <f t="shared" si="2"/>
        <v>9745.354301176767</v>
      </c>
      <c r="O16" s="28" t="str">
        <f t="shared" si="3"/>
        <v/>
      </c>
      <c r="P16" s="28">
        <v>8.74</v>
      </c>
      <c r="Q16" s="28">
        <v>17.600000000000001</v>
      </c>
      <c r="R16" s="28">
        <v>18.09</v>
      </c>
      <c r="S16" s="28">
        <v>16.600000000000001</v>
      </c>
      <c r="T16" s="28">
        <v>20.6</v>
      </c>
      <c r="U16" s="28">
        <v>3.86</v>
      </c>
      <c r="V16" s="28">
        <f t="shared" si="4"/>
        <v>85.490000000000009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159510</v>
      </c>
      <c r="C17" s="28">
        <v>1073.05</v>
      </c>
      <c r="D17" s="28">
        <v>35.42</v>
      </c>
      <c r="E17" s="28">
        <v>71.150000000000006</v>
      </c>
      <c r="F17" s="28">
        <v>71.760000000000005</v>
      </c>
      <c r="G17" s="28">
        <f t="shared" si="0"/>
        <v>142.91000000000003</v>
      </c>
      <c r="H17" s="28">
        <v>0</v>
      </c>
      <c r="I17" s="28">
        <v>0</v>
      </c>
      <c r="J17" s="112">
        <v>144</v>
      </c>
      <c r="K17" s="28">
        <f t="shared" si="1"/>
        <v>-0.7569444444444271</v>
      </c>
      <c r="L17" s="28"/>
      <c r="M17" s="28"/>
      <c r="N17" s="28">
        <f t="shared" si="2"/>
        <v>9629.7065005947788</v>
      </c>
      <c r="O17" s="28" t="str">
        <f t="shared" si="3"/>
        <v/>
      </c>
      <c r="P17" s="28">
        <v>8.7200000000000006</v>
      </c>
      <c r="Q17" s="28">
        <v>15.23</v>
      </c>
      <c r="R17" s="28">
        <v>15.72</v>
      </c>
      <c r="S17" s="28">
        <v>14.22</v>
      </c>
      <c r="T17" s="28">
        <v>18.21</v>
      </c>
      <c r="U17" s="28">
        <v>3.87</v>
      </c>
      <c r="V17" s="28">
        <f t="shared" si="4"/>
        <v>75.97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134330</v>
      </c>
      <c r="C18" s="28">
        <v>48.92</v>
      </c>
      <c r="D18" s="28">
        <v>2866.74</v>
      </c>
      <c r="E18" s="28">
        <v>59.14</v>
      </c>
      <c r="F18" s="28">
        <v>59.64</v>
      </c>
      <c r="G18" s="28">
        <f t="shared" si="0"/>
        <v>118.78</v>
      </c>
      <c r="H18" s="28">
        <v>0</v>
      </c>
      <c r="I18" s="28">
        <v>0</v>
      </c>
      <c r="J18" s="112">
        <v>120</v>
      </c>
      <c r="K18" s="28">
        <f t="shared" si="1"/>
        <v>-1.0166666666666657</v>
      </c>
      <c r="L18" s="28"/>
      <c r="M18" s="28"/>
      <c r="N18" s="28">
        <f t="shared" si="2"/>
        <v>10216.454386260317</v>
      </c>
      <c r="O18" s="28" t="str">
        <f t="shared" si="3"/>
        <v/>
      </c>
      <c r="P18" s="28">
        <v>8.64</v>
      </c>
      <c r="Q18" s="28">
        <v>12.99</v>
      </c>
      <c r="R18" s="28">
        <v>13.48</v>
      </c>
      <c r="S18" s="28">
        <v>11.99</v>
      </c>
      <c r="T18" s="28">
        <v>15.99</v>
      </c>
      <c r="U18" s="28">
        <v>3.9</v>
      </c>
      <c r="V18" s="28">
        <f t="shared" si="4"/>
        <v>66.990000000000009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152930</v>
      </c>
      <c r="C19" s="28">
        <v>9.7200000000000006</v>
      </c>
      <c r="D19" s="28">
        <v>8114.29</v>
      </c>
      <c r="E19" s="28">
        <v>28.02</v>
      </c>
      <c r="F19" s="28">
        <v>107.99</v>
      </c>
      <c r="G19" s="28">
        <f t="shared" si="0"/>
        <v>136.01</v>
      </c>
      <c r="H19" s="28">
        <v>0</v>
      </c>
      <c r="I19" s="28">
        <v>0</v>
      </c>
      <c r="J19" s="112">
        <v>90</v>
      </c>
      <c r="K19" s="28">
        <f t="shared" si="1"/>
        <v>51.122222222222213</v>
      </c>
      <c r="L19" s="28" t="s">
        <v>97</v>
      </c>
      <c r="M19" s="28"/>
      <c r="N19" s="28">
        <f t="shared" si="2"/>
        <v>10409.916682596868</v>
      </c>
      <c r="O19" s="28">
        <f t="shared" si="3"/>
        <v>46.009999999999991</v>
      </c>
      <c r="P19" s="28">
        <v>8.58</v>
      </c>
      <c r="Q19" s="28">
        <v>13.81</v>
      </c>
      <c r="R19" s="28">
        <v>16.28</v>
      </c>
      <c r="S19" s="28">
        <v>16.77</v>
      </c>
      <c r="T19" s="28">
        <v>18.79</v>
      </c>
      <c r="U19" s="28">
        <v>3.93</v>
      </c>
      <c r="V19" s="28">
        <f t="shared" si="4"/>
        <v>78.16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174900</v>
      </c>
      <c r="C20" s="28">
        <v>0</v>
      </c>
      <c r="D20" s="28">
        <v>12480.64</v>
      </c>
      <c r="E20" s="28">
        <v>0</v>
      </c>
      <c r="F20" s="28">
        <v>156.97</v>
      </c>
      <c r="G20" s="28">
        <f t="shared" si="0"/>
        <v>156.97</v>
      </c>
      <c r="H20" s="28">
        <v>0</v>
      </c>
      <c r="I20" s="28">
        <v>0</v>
      </c>
      <c r="J20" s="112">
        <v>90</v>
      </c>
      <c r="K20" s="28">
        <f t="shared" si="1"/>
        <v>74.411111111111111</v>
      </c>
      <c r="L20" s="28" t="s">
        <v>97</v>
      </c>
      <c r="M20" s="28"/>
      <c r="N20" s="28">
        <f t="shared" si="2"/>
        <v>9839.2549404344809</v>
      </c>
      <c r="O20" s="28">
        <f t="shared" si="3"/>
        <v>66.97</v>
      </c>
      <c r="P20" s="28">
        <v>8.49</v>
      </c>
      <c r="Q20" s="28">
        <v>13.88</v>
      </c>
      <c r="R20" s="28">
        <v>17.84</v>
      </c>
      <c r="S20" s="28">
        <v>20.28</v>
      </c>
      <c r="T20" s="28">
        <v>20.82</v>
      </c>
      <c r="U20" s="28">
        <v>3.95</v>
      </c>
      <c r="V20" s="28">
        <f t="shared" si="4"/>
        <v>85.26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175910</v>
      </c>
      <c r="C21" s="28">
        <v>0</v>
      </c>
      <c r="D21" s="28">
        <v>12620.95</v>
      </c>
      <c r="E21" s="28">
        <v>0</v>
      </c>
      <c r="F21" s="28">
        <v>158.05000000000001</v>
      </c>
      <c r="G21" s="28">
        <f t="shared" si="0"/>
        <v>158.05000000000001</v>
      </c>
      <c r="H21" s="28">
        <v>0</v>
      </c>
      <c r="I21" s="28">
        <v>0</v>
      </c>
      <c r="J21" s="112">
        <v>90</v>
      </c>
      <c r="K21" s="28">
        <f t="shared" si="1"/>
        <v>75.611111111111114</v>
      </c>
      <c r="L21" s="28" t="s">
        <v>97</v>
      </c>
      <c r="M21" s="28"/>
      <c r="N21" s="28">
        <f t="shared" si="2"/>
        <v>9749.0976779500179</v>
      </c>
      <c r="O21" s="28">
        <f t="shared" si="3"/>
        <v>68.050000000000011</v>
      </c>
      <c r="P21" s="28">
        <v>8.49</v>
      </c>
      <c r="Q21" s="28">
        <v>13.79</v>
      </c>
      <c r="R21" s="28">
        <v>17.77</v>
      </c>
      <c r="S21" s="28">
        <v>20.28</v>
      </c>
      <c r="T21" s="28">
        <v>20.78</v>
      </c>
      <c r="U21" s="28">
        <v>3.95</v>
      </c>
      <c r="V21" s="28">
        <f t="shared" si="4"/>
        <v>85.06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175550</v>
      </c>
      <c r="C22" s="28">
        <v>0</v>
      </c>
      <c r="D22" s="28">
        <v>10346.31</v>
      </c>
      <c r="E22" s="28">
        <v>0</v>
      </c>
      <c r="F22" s="28">
        <v>157.83000000000001</v>
      </c>
      <c r="G22" s="28">
        <f t="shared" si="0"/>
        <v>157.83000000000001</v>
      </c>
      <c r="H22" s="28">
        <v>0</v>
      </c>
      <c r="I22" s="28">
        <v>0</v>
      </c>
      <c r="J22" s="112">
        <v>90</v>
      </c>
      <c r="K22" s="28">
        <f t="shared" si="1"/>
        <v>75.366666666666674</v>
      </c>
      <c r="L22" s="28" t="s">
        <v>97</v>
      </c>
      <c r="M22" s="28"/>
      <c r="N22" s="28">
        <f t="shared" si="2"/>
        <v>9737.4366850408678</v>
      </c>
      <c r="O22" s="28">
        <f t="shared" si="3"/>
        <v>67.830000000000013</v>
      </c>
      <c r="P22" s="28">
        <v>8.59</v>
      </c>
      <c r="Q22" s="28">
        <v>13.72</v>
      </c>
      <c r="R22" s="28">
        <v>17.71</v>
      </c>
      <c r="S22" s="28">
        <v>20.22</v>
      </c>
      <c r="T22" s="28">
        <v>20.71</v>
      </c>
      <c r="U22" s="28">
        <v>3.89</v>
      </c>
      <c r="V22" s="28">
        <f t="shared" si="4"/>
        <v>84.84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176150</v>
      </c>
      <c r="C23" s="28">
        <v>0</v>
      </c>
      <c r="D23" s="28">
        <v>9308.42</v>
      </c>
      <c r="E23" s="28">
        <v>0</v>
      </c>
      <c r="F23" s="28">
        <v>158.22999999999999</v>
      </c>
      <c r="G23" s="28">
        <f t="shared" si="0"/>
        <v>158.22999999999999</v>
      </c>
      <c r="H23" s="28">
        <v>0</v>
      </c>
      <c r="I23" s="28">
        <v>0</v>
      </c>
      <c r="J23" s="112">
        <v>90</v>
      </c>
      <c r="K23" s="28">
        <f t="shared" si="1"/>
        <v>75.811111111111103</v>
      </c>
      <c r="L23" s="28" t="s">
        <v>97</v>
      </c>
      <c r="M23" s="28"/>
      <c r="N23" s="28">
        <f t="shared" si="2"/>
        <v>9645.2752322568431</v>
      </c>
      <c r="O23" s="28">
        <f t="shared" si="3"/>
        <v>68.22999999999999</v>
      </c>
      <c r="P23" s="28">
        <v>8.7799999999999994</v>
      </c>
      <c r="Q23" s="28">
        <v>13.56</v>
      </c>
      <c r="R23" s="28">
        <v>17.559999999999999</v>
      </c>
      <c r="S23" s="28">
        <v>20.059999999999999</v>
      </c>
      <c r="T23" s="28">
        <v>20.56</v>
      </c>
      <c r="U23" s="28">
        <v>3.73</v>
      </c>
      <c r="V23" s="28">
        <f t="shared" si="4"/>
        <v>84.25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176310</v>
      </c>
      <c r="C24" s="28">
        <v>0</v>
      </c>
      <c r="D24" s="28">
        <v>7146.29</v>
      </c>
      <c r="E24" s="28">
        <v>0</v>
      </c>
      <c r="F24" s="28">
        <v>158.30000000000001</v>
      </c>
      <c r="G24" s="28">
        <f t="shared" si="0"/>
        <v>158.30000000000001</v>
      </c>
      <c r="H24" s="28">
        <v>0</v>
      </c>
      <c r="I24" s="28">
        <v>0</v>
      </c>
      <c r="J24" s="112">
        <v>90</v>
      </c>
      <c r="K24" s="28">
        <f t="shared" si="1"/>
        <v>75.8888888888889</v>
      </c>
      <c r="L24" s="28" t="s">
        <v>97</v>
      </c>
      <c r="M24" s="28"/>
      <c r="N24" s="28">
        <f t="shared" si="2"/>
        <v>9659.3194440934949</v>
      </c>
      <c r="O24" s="28">
        <f t="shared" si="3"/>
        <v>68.300000000000011</v>
      </c>
      <c r="P24" s="28">
        <v>8.82</v>
      </c>
      <c r="Q24" s="28">
        <v>13.61</v>
      </c>
      <c r="R24" s="28">
        <v>17.600000000000001</v>
      </c>
      <c r="S24" s="28">
        <v>20.100000000000001</v>
      </c>
      <c r="T24" s="28">
        <v>20.6</v>
      </c>
      <c r="U24" s="28">
        <v>3.68</v>
      </c>
      <c r="V24" s="28">
        <f t="shared" si="4"/>
        <v>84.410000000000011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175780</v>
      </c>
      <c r="C25" s="28">
        <v>0</v>
      </c>
      <c r="D25" s="28">
        <v>7516.3</v>
      </c>
      <c r="E25" s="28">
        <v>0</v>
      </c>
      <c r="F25" s="28">
        <v>157.94</v>
      </c>
      <c r="G25" s="28">
        <f t="shared" si="0"/>
        <v>157.94</v>
      </c>
      <c r="H25" s="28">
        <v>0</v>
      </c>
      <c r="I25" s="28">
        <v>0</v>
      </c>
      <c r="J25" s="112">
        <v>90</v>
      </c>
      <c r="K25" s="28">
        <f t="shared" si="1"/>
        <v>75.488888888888894</v>
      </c>
      <c r="L25" s="28" t="s">
        <v>97</v>
      </c>
      <c r="M25" s="28"/>
      <c r="N25" s="28">
        <f t="shared" si="2"/>
        <v>9671.0139040141858</v>
      </c>
      <c r="O25" s="28">
        <f t="shared" si="3"/>
        <v>67.94</v>
      </c>
      <c r="P25" s="28">
        <v>8.77</v>
      </c>
      <c r="Q25" s="28">
        <v>13.6</v>
      </c>
      <c r="R25" s="28">
        <v>17.600000000000001</v>
      </c>
      <c r="S25" s="28">
        <v>20.100000000000001</v>
      </c>
      <c r="T25" s="28">
        <v>20.6</v>
      </c>
      <c r="U25" s="28">
        <v>3.65</v>
      </c>
      <c r="V25" s="28">
        <f t="shared" si="4"/>
        <v>84.320000000000007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175600</v>
      </c>
      <c r="C26" s="28">
        <v>0</v>
      </c>
      <c r="D26" s="28">
        <v>7296.88</v>
      </c>
      <c r="E26" s="28">
        <v>0</v>
      </c>
      <c r="F26" s="28">
        <v>157.88999999999999</v>
      </c>
      <c r="G26" s="28">
        <f t="shared" si="0"/>
        <v>157.88999999999999</v>
      </c>
      <c r="H26" s="28">
        <v>0</v>
      </c>
      <c r="I26" s="28">
        <v>0</v>
      </c>
      <c r="J26" s="112">
        <v>115</v>
      </c>
      <c r="K26" s="28">
        <f t="shared" si="1"/>
        <v>37.295652173913027</v>
      </c>
      <c r="L26" s="28" t="s">
        <v>98</v>
      </c>
      <c r="M26" s="28"/>
      <c r="N26" s="28">
        <f t="shared" si="2"/>
        <v>9655.7196022547378</v>
      </c>
      <c r="O26" s="28">
        <f t="shared" si="3"/>
        <v>42.889999999999986</v>
      </c>
      <c r="P26" s="28">
        <v>8.56</v>
      </c>
      <c r="Q26" s="28">
        <v>13.63</v>
      </c>
      <c r="R26" s="28">
        <v>17.61</v>
      </c>
      <c r="S26" s="28">
        <v>20.11</v>
      </c>
      <c r="T26" s="28">
        <v>20.61</v>
      </c>
      <c r="U26" s="28">
        <v>3.64</v>
      </c>
      <c r="V26" s="28">
        <f t="shared" si="4"/>
        <v>84.16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175320</v>
      </c>
      <c r="C27" s="28">
        <v>0</v>
      </c>
      <c r="D27" s="28">
        <v>4417.91</v>
      </c>
      <c r="E27" s="28">
        <v>0</v>
      </c>
      <c r="F27" s="28">
        <v>157.47999999999999</v>
      </c>
      <c r="G27" s="28">
        <f t="shared" si="0"/>
        <v>157.47999999999999</v>
      </c>
      <c r="H27" s="28">
        <v>0</v>
      </c>
      <c r="I27" s="28">
        <v>0</v>
      </c>
      <c r="J27" s="112">
        <v>145</v>
      </c>
      <c r="K27" s="28">
        <f t="shared" si="1"/>
        <v>8.606896551724132</v>
      </c>
      <c r="L27" s="28" t="s">
        <v>97</v>
      </c>
      <c r="M27" s="28"/>
      <c r="N27" s="28">
        <f t="shared" si="2"/>
        <v>9679.7080264160559</v>
      </c>
      <c r="O27" s="28">
        <f t="shared" si="3"/>
        <v>12.47999999999999</v>
      </c>
      <c r="P27" s="28">
        <v>8.49</v>
      </c>
      <c r="Q27" s="28">
        <v>13.62</v>
      </c>
      <c r="R27" s="28">
        <v>17.62</v>
      </c>
      <c r="S27" s="28">
        <v>20.12</v>
      </c>
      <c r="T27" s="28">
        <v>20.63</v>
      </c>
      <c r="U27" s="28">
        <v>3.67</v>
      </c>
      <c r="V27" s="28">
        <f t="shared" si="4"/>
        <v>84.15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175450</v>
      </c>
      <c r="C28" s="28">
        <v>0</v>
      </c>
      <c r="D28" s="28">
        <v>5387.57</v>
      </c>
      <c r="E28" s="28">
        <v>0</v>
      </c>
      <c r="F28" s="28">
        <v>157.19999999999999</v>
      </c>
      <c r="G28" s="28">
        <f t="shared" si="0"/>
        <v>157.19999999999999</v>
      </c>
      <c r="H28" s="28">
        <v>0</v>
      </c>
      <c r="I28" s="28">
        <v>0</v>
      </c>
      <c r="J28" s="112">
        <v>164</v>
      </c>
      <c r="K28" s="28">
        <f t="shared" si="1"/>
        <v>-4.1463414634146414</v>
      </c>
      <c r="L28" s="28"/>
      <c r="M28" s="28"/>
      <c r="N28" s="28">
        <f t="shared" si="2"/>
        <v>9707.3203053435136</v>
      </c>
      <c r="O28" s="28" t="str">
        <f t="shared" si="3"/>
        <v/>
      </c>
      <c r="P28" s="28">
        <v>8.5399999999999991</v>
      </c>
      <c r="Q28" s="28">
        <v>13.64</v>
      </c>
      <c r="R28" s="28">
        <v>17.64</v>
      </c>
      <c r="S28" s="28">
        <v>20.149999999999999</v>
      </c>
      <c r="T28" s="28">
        <v>20.65</v>
      </c>
      <c r="U28" s="28">
        <v>3.62</v>
      </c>
      <c r="V28" s="28">
        <f t="shared" si="4"/>
        <v>84.240000000000009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175390</v>
      </c>
      <c r="C29" s="28">
        <v>2667.8599999999997</v>
      </c>
      <c r="D29" s="28">
        <v>519.17999999999995</v>
      </c>
      <c r="E29" s="28">
        <v>68.400000000000006</v>
      </c>
      <c r="F29" s="28">
        <v>88.79</v>
      </c>
      <c r="G29" s="28">
        <f t="shared" si="0"/>
        <v>157.19</v>
      </c>
      <c r="H29" s="28">
        <v>0</v>
      </c>
      <c r="I29" s="28">
        <v>0</v>
      </c>
      <c r="J29" s="112">
        <v>164</v>
      </c>
      <c r="K29" s="28">
        <f t="shared" si="1"/>
        <v>-4.1524390243902456</v>
      </c>
      <c r="L29" s="28"/>
      <c r="M29" s="28"/>
      <c r="N29" s="28">
        <f t="shared" si="2"/>
        <v>9705.633030090974</v>
      </c>
      <c r="O29" s="28" t="str">
        <f t="shared" si="3"/>
        <v/>
      </c>
      <c r="P29" s="28">
        <v>8.56</v>
      </c>
      <c r="Q29" s="28">
        <v>13.65</v>
      </c>
      <c r="R29" s="28">
        <v>17.64</v>
      </c>
      <c r="S29" s="28">
        <v>20.149999999999999</v>
      </c>
      <c r="T29" s="28">
        <v>20.64</v>
      </c>
      <c r="U29" s="28">
        <v>3.58</v>
      </c>
      <c r="V29" s="28">
        <f t="shared" si="4"/>
        <v>84.22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176590</v>
      </c>
      <c r="C30" s="28">
        <v>3867.61</v>
      </c>
      <c r="D30" s="28">
        <v>4748.26</v>
      </c>
      <c r="E30" s="28">
        <v>78.77</v>
      </c>
      <c r="F30" s="28">
        <v>79.459999999999994</v>
      </c>
      <c r="G30" s="28">
        <f t="shared" si="0"/>
        <v>158.22999999999999</v>
      </c>
      <c r="H30" s="28">
        <v>0</v>
      </c>
      <c r="I30" s="28">
        <v>0</v>
      </c>
      <c r="J30" s="112">
        <v>164</v>
      </c>
      <c r="K30" s="28">
        <f t="shared" si="1"/>
        <v>-3.5182926829268357</v>
      </c>
      <c r="L30" s="28"/>
      <c r="M30" s="28"/>
      <c r="N30" s="28">
        <f t="shared" si="2"/>
        <v>9750.6004929532955</v>
      </c>
      <c r="O30" s="28" t="str">
        <f t="shared" si="3"/>
        <v/>
      </c>
      <c r="P30" s="28">
        <v>8.58</v>
      </c>
      <c r="Q30" s="28">
        <v>13.79</v>
      </c>
      <c r="R30" s="28">
        <v>18.149999999999999</v>
      </c>
      <c r="S30" s="28">
        <v>20.29</v>
      </c>
      <c r="T30" s="28">
        <v>20.79</v>
      </c>
      <c r="U30" s="28">
        <v>3.57</v>
      </c>
      <c r="V30" s="28">
        <f t="shared" si="4"/>
        <v>85.169999999999987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176760</v>
      </c>
      <c r="C31" s="28">
        <v>0</v>
      </c>
      <c r="D31" s="28">
        <v>13768.43</v>
      </c>
      <c r="E31" s="28">
        <v>78.739999999999995</v>
      </c>
      <c r="F31" s="28">
        <v>79.42</v>
      </c>
      <c r="G31" s="28">
        <f t="shared" si="0"/>
        <v>158.16</v>
      </c>
      <c r="H31" s="28">
        <v>0</v>
      </c>
      <c r="I31" s="28">
        <v>0</v>
      </c>
      <c r="J31" s="112">
        <v>164</v>
      </c>
      <c r="K31" s="28">
        <f t="shared" si="1"/>
        <v>-3.5609756097560998</v>
      </c>
      <c r="L31" s="28"/>
      <c r="M31" s="28"/>
      <c r="N31" s="28">
        <f t="shared" si="2"/>
        <v>9704.5207637835119</v>
      </c>
      <c r="O31" s="28" t="str">
        <f t="shared" si="3"/>
        <v/>
      </c>
      <c r="P31" s="28">
        <v>8.6</v>
      </c>
      <c r="Q31" s="28">
        <v>13.53</v>
      </c>
      <c r="R31" s="28">
        <v>18.52</v>
      </c>
      <c r="S31" s="28">
        <v>20.03</v>
      </c>
      <c r="T31" s="28">
        <v>20.52</v>
      </c>
      <c r="U31" s="28">
        <v>3.53</v>
      </c>
      <c r="V31" s="28">
        <f t="shared" si="4"/>
        <v>84.73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177660</v>
      </c>
      <c r="C32" s="28">
        <v>0</v>
      </c>
      <c r="D32" s="28">
        <v>14556.71</v>
      </c>
      <c r="E32" s="28">
        <v>79.180000000000007</v>
      </c>
      <c r="F32" s="28">
        <v>79.88</v>
      </c>
      <c r="G32" s="28">
        <f t="shared" si="0"/>
        <v>159.06</v>
      </c>
      <c r="H32" s="28">
        <v>0</v>
      </c>
      <c r="I32" s="28">
        <v>0</v>
      </c>
      <c r="J32" s="112">
        <v>164</v>
      </c>
      <c r="K32" s="28">
        <f t="shared" si="1"/>
        <v>-3.0121951219512182</v>
      </c>
      <c r="L32" s="28"/>
      <c r="M32" s="28"/>
      <c r="N32" s="28">
        <f t="shared" si="2"/>
        <v>9596.083540802214</v>
      </c>
      <c r="O32" s="28" t="str">
        <f t="shared" si="3"/>
        <v/>
      </c>
      <c r="P32" s="28">
        <v>8.64</v>
      </c>
      <c r="Q32" s="28">
        <v>13.37</v>
      </c>
      <c r="R32" s="28">
        <v>18.39</v>
      </c>
      <c r="S32" s="28">
        <v>19.89</v>
      </c>
      <c r="T32" s="28">
        <v>20.38</v>
      </c>
      <c r="U32" s="28">
        <v>3.59</v>
      </c>
      <c r="V32" s="28">
        <f t="shared" si="4"/>
        <v>84.26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177090</v>
      </c>
      <c r="C33" s="28">
        <v>0</v>
      </c>
      <c r="D33" s="28">
        <v>13200.85</v>
      </c>
      <c r="E33" s="28">
        <v>78.989999999999995</v>
      </c>
      <c r="F33" s="28">
        <v>79.680000000000007</v>
      </c>
      <c r="G33" s="28">
        <f t="shared" si="0"/>
        <v>158.67000000000002</v>
      </c>
      <c r="H33" s="28">
        <v>0</v>
      </c>
      <c r="I33" s="28">
        <v>0</v>
      </c>
      <c r="J33" s="112">
        <v>164</v>
      </c>
      <c r="K33" s="28">
        <f t="shared" si="1"/>
        <v>-3.2499999999999902</v>
      </c>
      <c r="L33" s="28"/>
      <c r="M33" s="28"/>
      <c r="N33" s="28">
        <f t="shared" si="2"/>
        <v>9644.7866893552637</v>
      </c>
      <c r="O33" s="28" t="str">
        <f t="shared" si="3"/>
        <v/>
      </c>
      <c r="P33" s="28">
        <v>8.6999999999999993</v>
      </c>
      <c r="Q33" s="28">
        <v>13.45</v>
      </c>
      <c r="R33" s="28">
        <v>18.45</v>
      </c>
      <c r="S33" s="28">
        <v>19.940000000000001</v>
      </c>
      <c r="T33" s="28">
        <v>20.440000000000001</v>
      </c>
      <c r="U33" s="28">
        <v>3.5</v>
      </c>
      <c r="V33" s="28">
        <f t="shared" si="4"/>
        <v>84.47999999999999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177240</v>
      </c>
      <c r="C34" s="28">
        <v>0</v>
      </c>
      <c r="D34" s="28">
        <v>14545.89</v>
      </c>
      <c r="E34" s="28">
        <v>79.08</v>
      </c>
      <c r="F34" s="28">
        <v>79.78</v>
      </c>
      <c r="G34" s="28">
        <f t="shared" si="0"/>
        <v>158.86000000000001</v>
      </c>
      <c r="H34" s="28">
        <v>0</v>
      </c>
      <c r="I34" s="28">
        <v>0</v>
      </c>
      <c r="J34" s="112">
        <v>164</v>
      </c>
      <c r="K34" s="28">
        <f t="shared" si="1"/>
        <v>-3.1341463414634063</v>
      </c>
      <c r="L34" s="28"/>
      <c r="M34" s="28"/>
      <c r="N34" s="28">
        <f t="shared" si="2"/>
        <v>9648.0752108775014</v>
      </c>
      <c r="O34" s="28" t="str">
        <f t="shared" si="3"/>
        <v/>
      </c>
      <c r="P34" s="28">
        <v>8.74</v>
      </c>
      <c r="Q34" s="28">
        <v>13.48</v>
      </c>
      <c r="R34" s="28">
        <v>18.489999999999998</v>
      </c>
      <c r="S34" s="28">
        <v>19.989999999999998</v>
      </c>
      <c r="T34" s="28">
        <v>20.49</v>
      </c>
      <c r="U34" s="28">
        <v>3.42</v>
      </c>
      <c r="V34" s="28">
        <f t="shared" si="4"/>
        <v>84.609999999999985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176870</v>
      </c>
      <c r="C35" s="28">
        <v>0</v>
      </c>
      <c r="D35" s="28">
        <v>14748.529999999999</v>
      </c>
      <c r="E35" s="28">
        <v>79</v>
      </c>
      <c r="F35" s="28">
        <v>79.7</v>
      </c>
      <c r="G35" s="28">
        <f t="shared" si="0"/>
        <v>158.69999999999999</v>
      </c>
      <c r="H35" s="28">
        <v>0</v>
      </c>
      <c r="I35" s="28">
        <v>0</v>
      </c>
      <c r="J35" s="112">
        <v>164</v>
      </c>
      <c r="K35" s="116">
        <f t="shared" si="1"/>
        <v>-3.2317073170731776</v>
      </c>
      <c r="L35" s="28"/>
      <c r="M35" s="28"/>
      <c r="N35" s="28">
        <f t="shared" si="2"/>
        <v>9662.3681159420303</v>
      </c>
      <c r="O35" s="28" t="str">
        <f t="shared" si="3"/>
        <v/>
      </c>
      <c r="P35" s="28">
        <v>8.6999999999999993</v>
      </c>
      <c r="Q35" s="28">
        <v>13.5</v>
      </c>
      <c r="R35" s="28">
        <v>18.5</v>
      </c>
      <c r="S35" s="28">
        <v>20.010000000000002</v>
      </c>
      <c r="T35" s="28">
        <v>20.5</v>
      </c>
      <c r="U35" s="28">
        <v>3.44</v>
      </c>
      <c r="V35" s="28">
        <f t="shared" si="4"/>
        <v>84.65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4146990</v>
      </c>
      <c r="C36" s="35">
        <f t="shared" ref="C36:J36" si="5">SUM(C12:C35)</f>
        <v>13482.490000000002</v>
      </c>
      <c r="D36" s="35">
        <f t="shared" si="5"/>
        <v>217292.98999999996</v>
      </c>
      <c r="E36" s="35">
        <f t="shared" si="5"/>
        <v>1095.04</v>
      </c>
      <c r="F36" s="35">
        <f t="shared" si="5"/>
        <v>2623.95</v>
      </c>
      <c r="G36" s="35">
        <f t="shared" si="5"/>
        <v>3718.9899999999993</v>
      </c>
      <c r="H36" s="35">
        <f t="shared" si="5"/>
        <v>0</v>
      </c>
      <c r="I36" s="35">
        <f t="shared" si="5"/>
        <v>0</v>
      </c>
      <c r="J36" s="35">
        <f t="shared" si="5"/>
        <v>3286</v>
      </c>
      <c r="K36" s="36"/>
      <c r="L36" s="37"/>
      <c r="M36" s="38"/>
      <c r="N36" s="35">
        <f>IFERROR(AVERAGE(N12:N35),"")</f>
        <v>9753.4712521886704</v>
      </c>
      <c r="O36" s="39">
        <f t="shared" ref="O36:U36" si="6">SUM(O12:O35)</f>
        <v>508.70000000000005</v>
      </c>
      <c r="P36" s="39">
        <f t="shared" si="6"/>
        <v>207.09999999999997</v>
      </c>
      <c r="Q36" s="39">
        <f t="shared" si="6"/>
        <v>347.84</v>
      </c>
      <c r="R36" s="39">
        <f t="shared" si="6"/>
        <v>423.11999999999995</v>
      </c>
      <c r="S36" s="39">
        <f t="shared" si="6"/>
        <v>447.71999999999997</v>
      </c>
      <c r="T36" s="39">
        <f t="shared" si="6"/>
        <v>485.70000000000005</v>
      </c>
      <c r="U36" s="39">
        <f t="shared" si="6"/>
        <v>89.2</v>
      </c>
      <c r="V36" s="39">
        <f>SUM(V12:V35)</f>
        <v>2000.6800000000003</v>
      </c>
      <c r="W36" s="40">
        <f>SUM(W12:W35)</f>
        <v>0</v>
      </c>
      <c r="X36" s="40">
        <f>SUM(X12:X35)</f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0</v>
      </c>
      <c r="J41" s="41"/>
      <c r="K41" s="13" t="s">
        <v>59</v>
      </c>
      <c r="L41" s="113">
        <v>468581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1</v>
      </c>
      <c r="B42" s="57">
        <v>0</v>
      </c>
      <c r="C42" s="57">
        <v>0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195419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>
        <f>IFERROR(3412.14/N36,"")</f>
        <v>0.34983852535929899</v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12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José Leal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2225.83</v>
      </c>
      <c r="D58" s="81">
        <v>0</v>
      </c>
      <c r="E58" s="82">
        <v>0</v>
      </c>
      <c r="F58" s="83">
        <v>4766.07</v>
      </c>
      <c r="G58" s="82">
        <v>0</v>
      </c>
      <c r="H58" s="84">
        <f t="shared" ref="H58:H81" si="7">IF(G58=0,0,100*(E58-G58)/G58)</f>
        <v>0</v>
      </c>
      <c r="I58" s="85"/>
      <c r="J58" s="85"/>
      <c r="K58" s="86" t="str">
        <f t="shared" ref="K58:K81" si="8">IFERROR(U58*1000*2.2*$K$92/E58/1000,"")</f>
        <v/>
      </c>
      <c r="L58" s="87"/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2241.7800000000002</v>
      </c>
      <c r="D59" s="81">
        <v>0</v>
      </c>
      <c r="E59" s="82">
        <v>0</v>
      </c>
      <c r="F59" s="82">
        <v>4746.1099999999997</v>
      </c>
      <c r="G59" s="82">
        <v>0</v>
      </c>
      <c r="H59" s="91">
        <f t="shared" si="7"/>
        <v>0</v>
      </c>
      <c r="I59" s="85"/>
      <c r="J59" s="85"/>
      <c r="K59" s="86" t="str">
        <f t="shared" si="8"/>
        <v/>
      </c>
      <c r="L59" s="87" t="str">
        <f t="shared" ref="L59:L81" si="9">IF(OR(H59&gt;5,H59&lt;-5),E59-G59,"")</f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10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2251.9699999999998</v>
      </c>
      <c r="D60" s="81">
        <v>0</v>
      </c>
      <c r="E60" s="82">
        <v>0</v>
      </c>
      <c r="F60" s="82">
        <v>4710.26</v>
      </c>
      <c r="G60" s="82">
        <v>0</v>
      </c>
      <c r="H60" s="91">
        <f t="shared" si="7"/>
        <v>0</v>
      </c>
      <c r="I60" s="85"/>
      <c r="J60" s="85"/>
      <c r="K60" s="86" t="str">
        <f t="shared" si="8"/>
        <v/>
      </c>
      <c r="L60" s="87" t="str">
        <f t="shared" si="9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10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2257.2199999999998</v>
      </c>
      <c r="D61" s="81">
        <v>0</v>
      </c>
      <c r="E61" s="82">
        <v>0</v>
      </c>
      <c r="F61" s="82">
        <v>4728.74</v>
      </c>
      <c r="G61" s="82">
        <v>0</v>
      </c>
      <c r="H61" s="91">
        <f t="shared" si="7"/>
        <v>0</v>
      </c>
      <c r="I61" s="85"/>
      <c r="J61" s="85"/>
      <c r="K61" s="86" t="str">
        <f t="shared" si="8"/>
        <v/>
      </c>
      <c r="L61" s="87" t="str">
        <f t="shared" si="9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10"/>
        <v>0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2294.13</v>
      </c>
      <c r="D62" s="81">
        <v>0</v>
      </c>
      <c r="E62" s="82">
        <v>0</v>
      </c>
      <c r="F62" s="82">
        <v>4695.5600000000004</v>
      </c>
      <c r="G62" s="82">
        <v>0</v>
      </c>
      <c r="H62" s="91">
        <f t="shared" si="7"/>
        <v>0</v>
      </c>
      <c r="I62" s="85"/>
      <c r="J62" s="85"/>
      <c r="K62" s="86" t="str">
        <f t="shared" si="8"/>
        <v/>
      </c>
      <c r="L62" s="87" t="str">
        <f t="shared" si="9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10"/>
        <v>0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2012.19</v>
      </c>
      <c r="D63" s="81">
        <v>46.36</v>
      </c>
      <c r="E63" s="82">
        <v>0</v>
      </c>
      <c r="F63" s="82">
        <v>4244.97</v>
      </c>
      <c r="G63" s="82">
        <v>0</v>
      </c>
      <c r="H63" s="91">
        <f t="shared" si="7"/>
        <v>0</v>
      </c>
      <c r="I63" s="85"/>
      <c r="J63" s="85"/>
      <c r="K63" s="86" t="str">
        <f t="shared" si="8"/>
        <v/>
      </c>
      <c r="L63" s="87" t="str">
        <f t="shared" si="9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10"/>
        <v>0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2054.37</v>
      </c>
      <c r="D64" s="81">
        <v>0</v>
      </c>
      <c r="E64" s="82">
        <v>0</v>
      </c>
      <c r="F64" s="82">
        <v>4171</v>
      </c>
      <c r="G64" s="82">
        <v>0</v>
      </c>
      <c r="H64" s="91">
        <f t="shared" si="7"/>
        <v>0</v>
      </c>
      <c r="I64" s="85"/>
      <c r="J64" s="85"/>
      <c r="K64" s="86" t="str">
        <f t="shared" si="8"/>
        <v/>
      </c>
      <c r="L64" s="87" t="str">
        <f t="shared" si="9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10"/>
        <v>0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2058.4699999999998</v>
      </c>
      <c r="D65" s="81">
        <v>0</v>
      </c>
      <c r="E65" s="82">
        <v>0</v>
      </c>
      <c r="F65" s="82">
        <v>4176.04</v>
      </c>
      <c r="G65" s="82">
        <v>0</v>
      </c>
      <c r="H65" s="91">
        <f t="shared" si="7"/>
        <v>0</v>
      </c>
      <c r="I65" s="85"/>
      <c r="J65" s="85"/>
      <c r="K65" s="86" t="str">
        <f t="shared" si="8"/>
        <v/>
      </c>
      <c r="L65" s="87" t="str">
        <f t="shared" si="9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10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1992.97</v>
      </c>
      <c r="D66" s="81">
        <v>0</v>
      </c>
      <c r="E66" s="82">
        <v>0</v>
      </c>
      <c r="F66" s="82">
        <v>4273.3500000000004</v>
      </c>
      <c r="G66" s="82">
        <v>0</v>
      </c>
      <c r="H66" s="91">
        <f t="shared" si="7"/>
        <v>0</v>
      </c>
      <c r="I66" s="85"/>
      <c r="J66" s="85"/>
      <c r="K66" s="86" t="str">
        <f t="shared" si="8"/>
        <v/>
      </c>
      <c r="L66" s="87" t="str">
        <f t="shared" si="9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10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1984.38</v>
      </c>
      <c r="D67" s="81">
        <v>0</v>
      </c>
      <c r="E67" s="82">
        <v>0</v>
      </c>
      <c r="F67" s="82">
        <v>4265.9399999999996</v>
      </c>
      <c r="G67" s="82">
        <v>0</v>
      </c>
      <c r="H67" s="91">
        <f t="shared" si="7"/>
        <v>0</v>
      </c>
      <c r="I67" s="85"/>
      <c r="J67" s="85"/>
      <c r="K67" s="86" t="str">
        <f t="shared" si="8"/>
        <v/>
      </c>
      <c r="L67" s="87" t="str">
        <f t="shared" si="9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10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1957.86</v>
      </c>
      <c r="D68" s="81">
        <v>38.909999999999997</v>
      </c>
      <c r="E68" s="82">
        <v>0</v>
      </c>
      <c r="F68" s="82">
        <v>4556.05</v>
      </c>
      <c r="G68" s="82">
        <v>0</v>
      </c>
      <c r="H68" s="91">
        <f t="shared" si="7"/>
        <v>0</v>
      </c>
      <c r="I68" s="85"/>
      <c r="K68" s="86" t="str">
        <f t="shared" si="8"/>
        <v/>
      </c>
      <c r="L68" s="87" t="str">
        <f t="shared" si="9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10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2213.79</v>
      </c>
      <c r="D69" s="81">
        <v>0</v>
      </c>
      <c r="E69" s="82">
        <v>0</v>
      </c>
      <c r="F69" s="82">
        <v>4774.8999999999996</v>
      </c>
      <c r="G69" s="82">
        <v>0</v>
      </c>
      <c r="H69" s="91">
        <f t="shared" si="7"/>
        <v>0</v>
      </c>
      <c r="I69" s="85"/>
      <c r="J69" s="85"/>
      <c r="K69" s="86" t="str">
        <f t="shared" si="8"/>
        <v/>
      </c>
      <c r="L69" s="87" t="str">
        <f t="shared" si="9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10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2264.38</v>
      </c>
      <c r="D70" s="81">
        <v>0</v>
      </c>
      <c r="E70" s="82">
        <v>0</v>
      </c>
      <c r="F70" s="82">
        <v>4734.29</v>
      </c>
      <c r="G70" s="82">
        <v>0</v>
      </c>
      <c r="H70" s="91">
        <f t="shared" si="7"/>
        <v>0</v>
      </c>
      <c r="I70" s="85"/>
      <c r="J70" s="85"/>
      <c r="K70" s="86" t="str">
        <f t="shared" si="8"/>
        <v/>
      </c>
      <c r="L70" s="87" t="str">
        <f t="shared" si="9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10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2266.79</v>
      </c>
      <c r="D71" s="81">
        <v>0</v>
      </c>
      <c r="E71" s="82">
        <v>0</v>
      </c>
      <c r="F71" s="82">
        <v>4643.13</v>
      </c>
      <c r="G71" s="82">
        <v>0</v>
      </c>
      <c r="H71" s="91">
        <f t="shared" si="7"/>
        <v>0</v>
      </c>
      <c r="I71" s="85"/>
      <c r="J71" s="85"/>
      <c r="K71" s="86" t="str">
        <f t="shared" si="8"/>
        <v/>
      </c>
      <c r="L71" s="87" t="str">
        <f t="shared" si="9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10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2266.83</v>
      </c>
      <c r="D72" s="81">
        <v>0</v>
      </c>
      <c r="E72" s="82">
        <v>0</v>
      </c>
      <c r="F72" s="82">
        <v>4621.62</v>
      </c>
      <c r="G72" s="82">
        <v>0</v>
      </c>
      <c r="H72" s="91">
        <f t="shared" si="7"/>
        <v>0</v>
      </c>
      <c r="I72" s="85"/>
      <c r="J72" s="85"/>
      <c r="K72" s="86" t="str">
        <f t="shared" si="8"/>
        <v/>
      </c>
      <c r="L72" s="87" t="str">
        <f t="shared" si="9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10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2276.39</v>
      </c>
      <c r="D73" s="81">
        <v>0</v>
      </c>
      <c r="E73" s="82">
        <v>0</v>
      </c>
      <c r="F73" s="82">
        <v>4627.9399999999996</v>
      </c>
      <c r="G73" s="82">
        <v>0</v>
      </c>
      <c r="H73" s="91">
        <f t="shared" si="7"/>
        <v>0</v>
      </c>
      <c r="I73" s="85"/>
      <c r="J73" s="85"/>
      <c r="K73" s="86" t="str">
        <f t="shared" si="8"/>
        <v/>
      </c>
      <c r="L73" s="87" t="str">
        <f t="shared" si="9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10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2283.73</v>
      </c>
      <c r="D74" s="81">
        <v>0</v>
      </c>
      <c r="E74" s="82">
        <v>0</v>
      </c>
      <c r="F74" s="82">
        <v>4675.29</v>
      </c>
      <c r="G74" s="82">
        <v>0</v>
      </c>
      <c r="H74" s="91">
        <f t="shared" si="7"/>
        <v>0</v>
      </c>
      <c r="I74" s="85"/>
      <c r="J74" s="85"/>
      <c r="K74" s="86" t="str">
        <f t="shared" si="8"/>
        <v/>
      </c>
      <c r="L74" s="87" t="str">
        <f t="shared" si="9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10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2205.38</v>
      </c>
      <c r="D75" s="81">
        <v>0</v>
      </c>
      <c r="E75" s="82">
        <v>0</v>
      </c>
      <c r="F75" s="82">
        <v>4978.53</v>
      </c>
      <c r="G75" s="82">
        <v>0</v>
      </c>
      <c r="H75" s="91">
        <f t="shared" si="7"/>
        <v>0</v>
      </c>
      <c r="I75" s="85"/>
      <c r="J75" s="85"/>
      <c r="K75" s="86" t="str">
        <f t="shared" si="8"/>
        <v/>
      </c>
      <c r="L75" s="87" t="str">
        <f t="shared" si="9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10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2218.13</v>
      </c>
      <c r="D76" s="81">
        <v>0</v>
      </c>
      <c r="E76" s="82">
        <v>0</v>
      </c>
      <c r="F76" s="82">
        <v>4991.99</v>
      </c>
      <c r="G76" s="82">
        <v>0</v>
      </c>
      <c r="H76" s="91">
        <f t="shared" si="7"/>
        <v>0</v>
      </c>
      <c r="I76" s="85"/>
      <c r="J76" s="85"/>
      <c r="K76" s="86" t="str">
        <f t="shared" si="8"/>
        <v/>
      </c>
      <c r="L76" s="87" t="str">
        <f t="shared" si="9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10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2142.23</v>
      </c>
      <c r="D77" s="81">
        <v>0</v>
      </c>
      <c r="E77" s="82">
        <v>0</v>
      </c>
      <c r="F77" s="82">
        <v>5219.71</v>
      </c>
      <c r="G77" s="82">
        <v>0</v>
      </c>
      <c r="H77" s="91">
        <f t="shared" si="7"/>
        <v>0</v>
      </c>
      <c r="I77" s="85"/>
      <c r="J77" s="85"/>
      <c r="K77" s="86" t="str">
        <f t="shared" si="8"/>
        <v/>
      </c>
      <c r="L77" s="87" t="str">
        <f t="shared" si="9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10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2234.0100000000002</v>
      </c>
      <c r="D78" s="81">
        <v>0</v>
      </c>
      <c r="E78" s="82">
        <v>0</v>
      </c>
      <c r="F78" s="82">
        <v>4820.51</v>
      </c>
      <c r="G78" s="82">
        <v>0</v>
      </c>
      <c r="H78" s="91">
        <f t="shared" si="7"/>
        <v>0</v>
      </c>
      <c r="I78" s="85"/>
      <c r="J78" s="85"/>
      <c r="K78" s="86" t="str">
        <f t="shared" si="8"/>
        <v/>
      </c>
      <c r="L78" s="87" t="str">
        <f t="shared" si="9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0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2250.3200000000002</v>
      </c>
      <c r="D79" s="81">
        <v>0</v>
      </c>
      <c r="E79" s="82">
        <v>0</v>
      </c>
      <c r="F79" s="82">
        <v>4820.29</v>
      </c>
      <c r="G79" s="82">
        <v>0</v>
      </c>
      <c r="H79" s="91">
        <f t="shared" si="7"/>
        <v>0</v>
      </c>
      <c r="I79" s="85"/>
      <c r="J79" s="85"/>
      <c r="K79" s="86" t="str">
        <f t="shared" si="8"/>
        <v/>
      </c>
      <c r="L79" s="87" t="str">
        <f t="shared" si="9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0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2224.9499999999998</v>
      </c>
      <c r="D80" s="81">
        <v>0</v>
      </c>
      <c r="E80" s="82">
        <v>0</v>
      </c>
      <c r="F80" s="82">
        <v>4869.8999999999996</v>
      </c>
      <c r="G80" s="82">
        <v>0</v>
      </c>
      <c r="H80" s="91">
        <f t="shared" si="7"/>
        <v>0</v>
      </c>
      <c r="I80" s="85"/>
      <c r="J80" s="85"/>
      <c r="K80" s="86" t="str">
        <f t="shared" si="8"/>
        <v/>
      </c>
      <c r="L80" s="87" t="str">
        <f t="shared" si="9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0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2251.9699999999998</v>
      </c>
      <c r="D81" s="28">
        <v>0</v>
      </c>
      <c r="E81" s="96">
        <v>0</v>
      </c>
      <c r="F81" s="97">
        <v>4957.97</v>
      </c>
      <c r="G81" s="82">
        <v>0</v>
      </c>
      <c r="H81" s="98">
        <f t="shared" si="7"/>
        <v>0</v>
      </c>
      <c r="I81" s="115"/>
      <c r="J81" s="85"/>
      <c r="K81" s="99" t="str">
        <f t="shared" si="8"/>
        <v/>
      </c>
      <c r="L81" s="87" t="str">
        <f t="shared" si="9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0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1">SUM(B58:B81)</f>
        <v>0</v>
      </c>
      <c r="C82" s="35">
        <f t="shared" si="11"/>
        <v>52430.070000000007</v>
      </c>
      <c r="D82" s="35">
        <f t="shared" si="11"/>
        <v>85.27</v>
      </c>
      <c r="E82" s="35">
        <f t="shared" si="11"/>
        <v>0</v>
      </c>
      <c r="F82" s="101">
        <f t="shared" si="11"/>
        <v>112070.15999999999</v>
      </c>
      <c r="G82" s="35">
        <f t="shared" si="11"/>
        <v>0</v>
      </c>
      <c r="H82" s="102"/>
      <c r="I82" s="103"/>
      <c r="J82" s="104"/>
      <c r="K82" s="105" t="str">
        <f>IFERROR(AVERAGE(K58:K81),"")</f>
        <v/>
      </c>
      <c r="L82" s="40">
        <f t="shared" ref="L82:U82" si="12">SUM(L58:L81)</f>
        <v>0</v>
      </c>
      <c r="M82" s="40">
        <f t="shared" si="12"/>
        <v>0</v>
      </c>
      <c r="N82" s="39">
        <f t="shared" si="12"/>
        <v>0</v>
      </c>
      <c r="O82" s="39">
        <f t="shared" si="12"/>
        <v>0</v>
      </c>
      <c r="P82" s="39">
        <f t="shared" si="12"/>
        <v>0</v>
      </c>
      <c r="Q82" s="39">
        <f t="shared" si="12"/>
        <v>0</v>
      </c>
      <c r="R82" s="39">
        <f t="shared" si="12"/>
        <v>0</v>
      </c>
      <c r="S82" s="39">
        <f t="shared" si="12"/>
        <v>0</v>
      </c>
      <c r="T82" s="39">
        <f t="shared" si="12"/>
        <v>0</v>
      </c>
      <c r="U82" s="39">
        <f t="shared" si="12"/>
        <v>0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112070.15999999999</v>
      </c>
      <c r="J87" s="41"/>
      <c r="K87" s="62" t="s">
        <v>59</v>
      </c>
      <c r="L87" s="113">
        <v>7287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</v>
      </c>
      <c r="B88" s="57">
        <v>0</v>
      </c>
      <c r="C88" s="57">
        <v>1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1858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 t="str">
        <f>IFERROR(3412.14/K82,"")</f>
        <v/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K90:L90"/>
    <mergeCell ref="B91:B92"/>
    <mergeCell ref="C91:I92"/>
    <mergeCell ref="K91:L91"/>
    <mergeCell ref="K92:L92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A85:A86"/>
    <mergeCell ref="B85:B86"/>
    <mergeCell ref="C85:C86"/>
    <mergeCell ref="D85:D86"/>
    <mergeCell ref="H85:I8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H41:H42"/>
    <mergeCell ref="I41:I42"/>
    <mergeCell ref="K44:L44"/>
    <mergeCell ref="C45:I46"/>
    <mergeCell ref="K45:L45"/>
    <mergeCell ref="K46:L46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A39:A40"/>
    <mergeCell ref="B39:B40"/>
    <mergeCell ref="C39:C40"/>
    <mergeCell ref="D39:D40"/>
    <mergeCell ref="H39:I40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1:C1"/>
    <mergeCell ref="D1:U2"/>
    <mergeCell ref="V1:X4"/>
    <mergeCell ref="A2:C2"/>
    <mergeCell ref="A3:C3"/>
    <mergeCell ref="D3:U4"/>
    <mergeCell ref="A4:C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65C0-BDA2-4CFF-A605-743B49878955}">
  <dimension ref="A1:Z109"/>
  <sheetViews>
    <sheetView zoomScale="85" zoomScaleNormal="85" workbookViewId="0">
      <selection activeCell="B12" sqref="B12:B35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13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82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176540</v>
      </c>
      <c r="C12" s="28">
        <v>0</v>
      </c>
      <c r="D12" s="28">
        <v>15863.529999999999</v>
      </c>
      <c r="E12" s="28">
        <v>78.86</v>
      </c>
      <c r="F12" s="28">
        <v>79.55</v>
      </c>
      <c r="G12" s="28">
        <f t="shared" ref="G12:G35" si="0">+E12+F12</f>
        <v>158.41</v>
      </c>
      <c r="H12" s="28">
        <v>0</v>
      </c>
      <c r="I12" s="28">
        <v>0</v>
      </c>
      <c r="J12" s="112">
        <v>164</v>
      </c>
      <c r="K12" s="28">
        <f t="shared" ref="K12:K35" si="1">IF(J12=0,0,100*(G12-J12)/J12)</f>
        <v>-3.4085365853658556</v>
      </c>
      <c r="L12" s="28"/>
      <c r="M12" s="28"/>
      <c r="N12" s="28">
        <f t="shared" ref="N12:N35" si="2">IFERROR(V12*1000*2.2*$K$46/G12/1000,"")</f>
        <v>9645.7507733097664</v>
      </c>
      <c r="O12" s="28" t="str">
        <f t="shared" ref="O12:O35" si="3">IF(OR(K12&gt;5,K12&lt;-5),G12-J12,"")</f>
        <v/>
      </c>
      <c r="P12" s="28">
        <v>8.51</v>
      </c>
      <c r="Q12" s="28">
        <v>13.49</v>
      </c>
      <c r="R12" s="28">
        <v>18.5</v>
      </c>
      <c r="S12" s="28">
        <v>20</v>
      </c>
      <c r="T12" s="28">
        <v>20.49</v>
      </c>
      <c r="U12" s="28">
        <v>3.36</v>
      </c>
      <c r="V12" s="28">
        <f t="shared" ref="V12:V35" si="4">+SUM(P12:U12)</f>
        <v>84.35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177000</v>
      </c>
      <c r="C13" s="28">
        <v>0</v>
      </c>
      <c r="D13" s="28">
        <v>14214.759999999998</v>
      </c>
      <c r="E13" s="28">
        <v>79.13</v>
      </c>
      <c r="F13" s="28">
        <v>79.83</v>
      </c>
      <c r="G13" s="28">
        <f t="shared" si="0"/>
        <v>158.95999999999998</v>
      </c>
      <c r="H13" s="28">
        <v>0</v>
      </c>
      <c r="I13" s="28">
        <v>0</v>
      </c>
      <c r="J13" s="112">
        <v>164</v>
      </c>
      <c r="K13" s="28">
        <f t="shared" si="1"/>
        <v>-3.0731707317073296</v>
      </c>
      <c r="L13" s="28"/>
      <c r="M13" s="28"/>
      <c r="N13" s="28">
        <f t="shared" si="2"/>
        <v>9610.0974081529985</v>
      </c>
      <c r="O13" s="28" t="str">
        <f t="shared" si="3"/>
        <v/>
      </c>
      <c r="P13" s="28">
        <v>8.36</v>
      </c>
      <c r="Q13" s="28">
        <v>13.52</v>
      </c>
      <c r="R13" s="28">
        <v>18.510000000000002</v>
      </c>
      <c r="S13" s="28">
        <v>20.010000000000002</v>
      </c>
      <c r="T13" s="28">
        <v>20.51</v>
      </c>
      <c r="U13" s="28">
        <v>3.42</v>
      </c>
      <c r="V13" s="28">
        <f t="shared" si="4"/>
        <v>84.330000000000013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176770</v>
      </c>
      <c r="C14" s="28">
        <v>0</v>
      </c>
      <c r="D14" s="28">
        <v>14648.15</v>
      </c>
      <c r="E14" s="28">
        <v>79.040000000000006</v>
      </c>
      <c r="F14" s="28">
        <v>79.739999999999995</v>
      </c>
      <c r="G14" s="28">
        <f t="shared" si="0"/>
        <v>158.78</v>
      </c>
      <c r="H14" s="28">
        <v>0</v>
      </c>
      <c r="I14" s="28">
        <v>0</v>
      </c>
      <c r="J14" s="112">
        <v>164</v>
      </c>
      <c r="K14" s="28">
        <f t="shared" si="1"/>
        <v>-3.182926829268292</v>
      </c>
      <c r="L14" s="28"/>
      <c r="M14" s="28"/>
      <c r="N14" s="28">
        <f t="shared" si="2"/>
        <v>9626.6962085905034</v>
      </c>
      <c r="O14" s="28" t="str">
        <f t="shared" si="3"/>
        <v/>
      </c>
      <c r="P14" s="28">
        <v>8.3800000000000008</v>
      </c>
      <c r="Q14" s="28">
        <v>13.52</v>
      </c>
      <c r="R14" s="28">
        <v>18.52</v>
      </c>
      <c r="S14" s="28">
        <v>20.02</v>
      </c>
      <c r="T14" s="28">
        <v>20.52</v>
      </c>
      <c r="U14" s="28">
        <v>3.42</v>
      </c>
      <c r="V14" s="28">
        <f t="shared" si="4"/>
        <v>84.38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176500</v>
      </c>
      <c r="C15" s="28">
        <v>5255.51</v>
      </c>
      <c r="D15" s="28">
        <v>950.7</v>
      </c>
      <c r="E15" s="28">
        <v>78.900000000000006</v>
      </c>
      <c r="F15" s="28">
        <v>79.599999999999994</v>
      </c>
      <c r="G15" s="28">
        <f t="shared" si="0"/>
        <v>158.5</v>
      </c>
      <c r="H15" s="28">
        <v>0</v>
      </c>
      <c r="I15" s="28">
        <v>0</v>
      </c>
      <c r="J15" s="112">
        <v>164</v>
      </c>
      <c r="K15" s="28">
        <f t="shared" si="1"/>
        <v>-3.3536585365853657</v>
      </c>
      <c r="L15" s="28"/>
      <c r="M15" s="28"/>
      <c r="N15" s="28">
        <f t="shared" si="2"/>
        <v>9625.4161261829686</v>
      </c>
      <c r="O15" s="28" t="str">
        <f t="shared" si="3"/>
        <v/>
      </c>
      <c r="P15" s="28">
        <v>8.35</v>
      </c>
      <c r="Q15" s="28">
        <v>13.47</v>
      </c>
      <c r="R15" s="28">
        <v>18.489999999999998</v>
      </c>
      <c r="S15" s="28">
        <v>19.98</v>
      </c>
      <c r="T15" s="28">
        <v>20.48</v>
      </c>
      <c r="U15" s="28">
        <v>3.45</v>
      </c>
      <c r="V15" s="28">
        <f t="shared" si="4"/>
        <v>84.220000000000013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176810</v>
      </c>
      <c r="C16" s="28">
        <v>5816.02</v>
      </c>
      <c r="D16" s="28">
        <v>0.01</v>
      </c>
      <c r="E16" s="28">
        <v>79</v>
      </c>
      <c r="F16" s="28">
        <v>79.709999999999994</v>
      </c>
      <c r="G16" s="28">
        <f t="shared" si="0"/>
        <v>158.70999999999998</v>
      </c>
      <c r="H16" s="28">
        <v>0</v>
      </c>
      <c r="I16" s="28">
        <v>0</v>
      </c>
      <c r="J16" s="112">
        <v>164</v>
      </c>
      <c r="K16" s="28">
        <f t="shared" si="1"/>
        <v>-3.2256097560975734</v>
      </c>
      <c r="L16" s="28"/>
      <c r="M16" s="28"/>
      <c r="N16" s="28">
        <f t="shared" si="2"/>
        <v>9608.1145737508687</v>
      </c>
      <c r="O16" s="28" t="str">
        <f t="shared" si="3"/>
        <v/>
      </c>
      <c r="P16" s="28">
        <v>8.39</v>
      </c>
      <c r="Q16" s="28">
        <v>13.47</v>
      </c>
      <c r="R16" s="28">
        <v>18.46</v>
      </c>
      <c r="S16" s="28">
        <v>19.97</v>
      </c>
      <c r="T16" s="28">
        <v>20.46</v>
      </c>
      <c r="U16" s="28">
        <v>3.43</v>
      </c>
      <c r="V16" s="28">
        <f t="shared" si="4"/>
        <v>84.18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177340</v>
      </c>
      <c r="C17" s="28">
        <v>7722.17</v>
      </c>
      <c r="D17" s="28">
        <v>0</v>
      </c>
      <c r="E17" s="28">
        <v>79.13</v>
      </c>
      <c r="F17" s="28">
        <v>79.84</v>
      </c>
      <c r="G17" s="28">
        <f t="shared" si="0"/>
        <v>158.97</v>
      </c>
      <c r="H17" s="28">
        <v>0</v>
      </c>
      <c r="I17" s="28">
        <v>0</v>
      </c>
      <c r="J17" s="112">
        <v>164</v>
      </c>
      <c r="K17" s="28">
        <f t="shared" si="1"/>
        <v>-3.067073170731708</v>
      </c>
      <c r="L17" s="28"/>
      <c r="M17" s="28"/>
      <c r="N17" s="28">
        <f t="shared" si="2"/>
        <v>9581.0051204629817</v>
      </c>
      <c r="O17" s="28" t="str">
        <f t="shared" si="3"/>
        <v/>
      </c>
      <c r="P17" s="28">
        <v>8.41</v>
      </c>
      <c r="Q17" s="28">
        <v>13.43</v>
      </c>
      <c r="R17" s="28">
        <v>18.45</v>
      </c>
      <c r="S17" s="28">
        <v>19.940000000000001</v>
      </c>
      <c r="T17" s="28">
        <v>20.440000000000001</v>
      </c>
      <c r="U17" s="28">
        <v>3.41</v>
      </c>
      <c r="V17" s="28">
        <f t="shared" si="4"/>
        <v>84.08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177500</v>
      </c>
      <c r="C18" s="28">
        <v>7388.74</v>
      </c>
      <c r="D18" s="28">
        <v>0</v>
      </c>
      <c r="E18" s="28">
        <v>79.260000000000005</v>
      </c>
      <c r="F18" s="28">
        <v>79.97</v>
      </c>
      <c r="G18" s="28">
        <f t="shared" si="0"/>
        <v>159.23000000000002</v>
      </c>
      <c r="H18" s="28">
        <v>0</v>
      </c>
      <c r="I18" s="28">
        <v>0</v>
      </c>
      <c r="J18" s="112">
        <v>164</v>
      </c>
      <c r="K18" s="28">
        <f t="shared" si="1"/>
        <v>-2.9085365853658427</v>
      </c>
      <c r="L18" s="28"/>
      <c r="M18" s="28"/>
      <c r="N18" s="28">
        <f t="shared" si="2"/>
        <v>9540.3323996734289</v>
      </c>
      <c r="O18" s="28" t="str">
        <f t="shared" si="3"/>
        <v/>
      </c>
      <c r="P18" s="28">
        <v>8.43</v>
      </c>
      <c r="Q18" s="28">
        <v>13.35</v>
      </c>
      <c r="R18" s="28">
        <v>18.329999999999998</v>
      </c>
      <c r="S18" s="28">
        <v>19.84</v>
      </c>
      <c r="T18" s="28">
        <v>20.329999999999998</v>
      </c>
      <c r="U18" s="28">
        <v>3.58</v>
      </c>
      <c r="V18" s="28">
        <f t="shared" si="4"/>
        <v>83.86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177430</v>
      </c>
      <c r="C19" s="28">
        <v>6188.54</v>
      </c>
      <c r="D19" s="28">
        <v>3.24</v>
      </c>
      <c r="E19" s="28">
        <v>79.209999999999994</v>
      </c>
      <c r="F19" s="28">
        <v>79.89</v>
      </c>
      <c r="G19" s="28">
        <f t="shared" si="0"/>
        <v>159.1</v>
      </c>
      <c r="H19" s="28">
        <v>0</v>
      </c>
      <c r="I19" s="28">
        <v>0</v>
      </c>
      <c r="J19" s="112">
        <v>164</v>
      </c>
      <c r="K19" s="28">
        <f t="shared" si="1"/>
        <v>-2.987804878048784</v>
      </c>
      <c r="L19" s="28"/>
      <c r="M19" s="28"/>
      <c r="N19" s="28">
        <f t="shared" si="2"/>
        <v>9589.1166310496556</v>
      </c>
      <c r="O19" s="28" t="str">
        <f t="shared" si="3"/>
        <v/>
      </c>
      <c r="P19" s="28">
        <v>8.66</v>
      </c>
      <c r="Q19" s="28">
        <v>13.35</v>
      </c>
      <c r="R19" s="28">
        <v>18.36</v>
      </c>
      <c r="S19" s="28">
        <v>19.850000000000001</v>
      </c>
      <c r="T19" s="28">
        <v>20.350000000000001</v>
      </c>
      <c r="U19" s="28">
        <v>3.65</v>
      </c>
      <c r="V19" s="28">
        <f t="shared" si="4"/>
        <v>84.22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177870</v>
      </c>
      <c r="C20" s="28">
        <v>1053.67</v>
      </c>
      <c r="D20" s="28">
        <v>1991.57</v>
      </c>
      <c r="E20" s="28">
        <v>49.59</v>
      </c>
      <c r="F20" s="28">
        <v>109.85</v>
      </c>
      <c r="G20" s="28">
        <f t="shared" si="0"/>
        <v>159.44</v>
      </c>
      <c r="H20" s="28">
        <v>0</v>
      </c>
      <c r="I20" s="28">
        <v>0</v>
      </c>
      <c r="J20" s="112">
        <v>164</v>
      </c>
      <c r="K20" s="28">
        <f t="shared" si="1"/>
        <v>-2.7804878048780504</v>
      </c>
      <c r="L20" s="28"/>
      <c r="M20" s="28"/>
      <c r="N20" s="28">
        <f t="shared" si="2"/>
        <v>9569.8043401906689</v>
      </c>
      <c r="O20" s="28" t="str">
        <f t="shared" si="3"/>
        <v/>
      </c>
      <c r="P20" s="28">
        <v>8.7899999999999991</v>
      </c>
      <c r="Q20" s="28">
        <v>13.32</v>
      </c>
      <c r="R20" s="28">
        <v>18.309999999999999</v>
      </c>
      <c r="S20" s="28">
        <v>19.82</v>
      </c>
      <c r="T20" s="28">
        <v>20.32</v>
      </c>
      <c r="U20" s="28">
        <v>3.67</v>
      </c>
      <c r="V20" s="28">
        <f t="shared" si="4"/>
        <v>84.23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177580</v>
      </c>
      <c r="C21" s="28">
        <v>0</v>
      </c>
      <c r="D21" s="28">
        <v>5150.75</v>
      </c>
      <c r="E21" s="28">
        <v>0</v>
      </c>
      <c r="F21" s="28">
        <v>159.4</v>
      </c>
      <c r="G21" s="28">
        <f t="shared" si="0"/>
        <v>159.4</v>
      </c>
      <c r="H21" s="28">
        <v>0</v>
      </c>
      <c r="I21" s="28">
        <v>0</v>
      </c>
      <c r="J21" s="112">
        <v>164</v>
      </c>
      <c r="K21" s="28">
        <f t="shared" si="1"/>
        <v>-2.8048780487804845</v>
      </c>
      <c r="L21" s="28"/>
      <c r="M21" s="28"/>
      <c r="N21" s="28">
        <f t="shared" si="2"/>
        <v>9589.252346298621</v>
      </c>
      <c r="O21" s="28" t="str">
        <f t="shared" si="3"/>
        <v/>
      </c>
      <c r="P21" s="28">
        <v>8.9700000000000006</v>
      </c>
      <c r="Q21" s="28">
        <v>13.32</v>
      </c>
      <c r="R21" s="28">
        <v>18.309999999999999</v>
      </c>
      <c r="S21" s="28">
        <v>19.8</v>
      </c>
      <c r="T21" s="28">
        <v>20.3</v>
      </c>
      <c r="U21" s="28">
        <v>3.68</v>
      </c>
      <c r="V21" s="28">
        <f t="shared" si="4"/>
        <v>84.38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176420</v>
      </c>
      <c r="C22" s="28">
        <v>0</v>
      </c>
      <c r="D22" s="28">
        <v>4855.21</v>
      </c>
      <c r="E22" s="28">
        <v>0</v>
      </c>
      <c r="F22" s="28">
        <v>158.15</v>
      </c>
      <c r="G22" s="28">
        <f t="shared" si="0"/>
        <v>158.15</v>
      </c>
      <c r="H22" s="28">
        <v>0</v>
      </c>
      <c r="I22" s="28">
        <v>0</v>
      </c>
      <c r="J22" s="112">
        <v>164</v>
      </c>
      <c r="K22" s="28">
        <f t="shared" si="1"/>
        <v>-3.567073170731704</v>
      </c>
      <c r="L22" s="28"/>
      <c r="M22" s="28"/>
      <c r="N22" s="28">
        <f t="shared" si="2"/>
        <v>9723.4610938981987</v>
      </c>
      <c r="O22" s="28" t="str">
        <f t="shared" si="3"/>
        <v/>
      </c>
      <c r="P22" s="28">
        <v>9.07</v>
      </c>
      <c r="Q22" s="28">
        <v>13.43</v>
      </c>
      <c r="R22" s="28">
        <v>18.43</v>
      </c>
      <c r="S22" s="28">
        <v>19.920000000000002</v>
      </c>
      <c r="T22" s="28">
        <v>20.43</v>
      </c>
      <c r="U22" s="28">
        <v>3.61</v>
      </c>
      <c r="V22" s="28">
        <f t="shared" si="4"/>
        <v>84.89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177990</v>
      </c>
      <c r="C23" s="28">
        <v>0</v>
      </c>
      <c r="D23" s="28">
        <v>3715.43</v>
      </c>
      <c r="E23" s="28">
        <v>0</v>
      </c>
      <c r="F23" s="28">
        <v>159.79</v>
      </c>
      <c r="G23" s="28">
        <f t="shared" si="0"/>
        <v>159.79</v>
      </c>
      <c r="H23" s="28">
        <v>0</v>
      </c>
      <c r="I23" s="28">
        <v>0</v>
      </c>
      <c r="J23" s="112">
        <v>164</v>
      </c>
      <c r="K23" s="28">
        <f t="shared" si="1"/>
        <v>-2.567073170731712</v>
      </c>
      <c r="L23" s="28"/>
      <c r="M23" s="28"/>
      <c r="N23" s="28">
        <f t="shared" si="2"/>
        <v>9629.3329494962145</v>
      </c>
      <c r="O23" s="28" t="str">
        <f t="shared" si="3"/>
        <v/>
      </c>
      <c r="P23" s="28">
        <v>9.3000000000000007</v>
      </c>
      <c r="Q23" s="28">
        <v>13.38</v>
      </c>
      <c r="R23" s="28">
        <v>18.39</v>
      </c>
      <c r="S23" s="28">
        <v>19.89</v>
      </c>
      <c r="T23" s="28">
        <v>20.39</v>
      </c>
      <c r="U23" s="28">
        <v>3.59</v>
      </c>
      <c r="V23" s="28">
        <f t="shared" si="4"/>
        <v>84.94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177090</v>
      </c>
      <c r="C24" s="28">
        <v>0</v>
      </c>
      <c r="D24" s="28">
        <v>18663.89</v>
      </c>
      <c r="E24" s="28">
        <v>0</v>
      </c>
      <c r="F24" s="28">
        <v>159.05000000000001</v>
      </c>
      <c r="G24" s="28">
        <f t="shared" si="0"/>
        <v>159.05000000000001</v>
      </c>
      <c r="H24" s="28">
        <v>0</v>
      </c>
      <c r="I24" s="28">
        <v>0</v>
      </c>
      <c r="J24" s="112">
        <v>164</v>
      </c>
      <c r="K24" s="28">
        <f t="shared" si="1"/>
        <v>-3.0182926829268224</v>
      </c>
      <c r="L24" s="28"/>
      <c r="M24" s="28"/>
      <c r="N24" s="28">
        <f t="shared" si="2"/>
        <v>9650.2169380697906</v>
      </c>
      <c r="O24" s="28" t="str">
        <f t="shared" si="3"/>
        <v/>
      </c>
      <c r="P24" s="28">
        <v>9.44</v>
      </c>
      <c r="Q24" s="28">
        <v>13.35</v>
      </c>
      <c r="R24" s="28">
        <v>18.34</v>
      </c>
      <c r="S24" s="28">
        <v>19.86</v>
      </c>
      <c r="T24" s="28">
        <v>20.350000000000001</v>
      </c>
      <c r="U24" s="28">
        <v>3.39</v>
      </c>
      <c r="V24" s="28">
        <f t="shared" si="4"/>
        <v>84.73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177150</v>
      </c>
      <c r="C25" s="28">
        <v>0</v>
      </c>
      <c r="D25" s="28">
        <v>18362.07</v>
      </c>
      <c r="E25" s="28">
        <v>0</v>
      </c>
      <c r="F25" s="28">
        <v>159.07</v>
      </c>
      <c r="G25" s="28">
        <f t="shared" si="0"/>
        <v>159.07</v>
      </c>
      <c r="H25" s="28">
        <v>0</v>
      </c>
      <c r="I25" s="28">
        <v>0</v>
      </c>
      <c r="J25" s="112">
        <v>164</v>
      </c>
      <c r="K25" s="28">
        <f t="shared" si="1"/>
        <v>-3.006097560975614</v>
      </c>
      <c r="L25" s="28"/>
      <c r="M25" s="28"/>
      <c r="N25" s="28">
        <f t="shared" si="2"/>
        <v>9671.7794933048353</v>
      </c>
      <c r="O25" s="28" t="str">
        <f t="shared" si="3"/>
        <v/>
      </c>
      <c r="P25" s="28">
        <v>9.67</v>
      </c>
      <c r="Q25" s="28">
        <v>13.31</v>
      </c>
      <c r="R25" s="28">
        <v>18.3</v>
      </c>
      <c r="S25" s="28">
        <v>19.82</v>
      </c>
      <c r="T25" s="28">
        <v>20.3</v>
      </c>
      <c r="U25" s="28">
        <v>3.53</v>
      </c>
      <c r="V25" s="28">
        <f t="shared" si="4"/>
        <v>84.93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178250</v>
      </c>
      <c r="C26" s="28">
        <v>0</v>
      </c>
      <c r="D26" s="28">
        <v>18106.060000000001</v>
      </c>
      <c r="E26" s="28">
        <v>0</v>
      </c>
      <c r="F26" s="28">
        <v>160.16</v>
      </c>
      <c r="G26" s="28">
        <f t="shared" si="0"/>
        <v>160.16</v>
      </c>
      <c r="H26" s="28">
        <v>0</v>
      </c>
      <c r="I26" s="28">
        <v>0</v>
      </c>
      <c r="J26" s="112">
        <v>164</v>
      </c>
      <c r="K26" s="28">
        <f t="shared" si="1"/>
        <v>-2.3414634146341484</v>
      </c>
      <c r="L26" s="28"/>
      <c r="M26" s="28"/>
      <c r="N26" s="28">
        <f t="shared" si="2"/>
        <v>9569.7629120879137</v>
      </c>
      <c r="O26" s="28" t="str">
        <f t="shared" si="3"/>
        <v/>
      </c>
      <c r="P26" s="28">
        <v>9.9499999999999993</v>
      </c>
      <c r="Q26" s="28">
        <v>13.18</v>
      </c>
      <c r="R26" s="28">
        <v>18.16</v>
      </c>
      <c r="S26" s="28">
        <v>19.670000000000002</v>
      </c>
      <c r="T26" s="28">
        <v>20.170000000000002</v>
      </c>
      <c r="U26" s="28">
        <v>3.48</v>
      </c>
      <c r="V26" s="28">
        <f t="shared" si="4"/>
        <v>84.61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177180</v>
      </c>
      <c r="C27" s="28">
        <v>0</v>
      </c>
      <c r="D27" s="28">
        <v>18313.89</v>
      </c>
      <c r="E27" s="28">
        <v>0</v>
      </c>
      <c r="F27" s="28">
        <v>159.22</v>
      </c>
      <c r="G27" s="28">
        <f t="shared" si="0"/>
        <v>159.22</v>
      </c>
      <c r="H27" s="28">
        <v>0</v>
      </c>
      <c r="I27" s="28">
        <v>0</v>
      </c>
      <c r="J27" s="112">
        <v>164</v>
      </c>
      <c r="K27" s="28">
        <f t="shared" si="1"/>
        <v>-2.9146341463414642</v>
      </c>
      <c r="L27" s="28"/>
      <c r="M27" s="28"/>
      <c r="N27" s="28">
        <f t="shared" si="2"/>
        <v>9468.1174224343649</v>
      </c>
      <c r="O27" s="28" t="str">
        <f t="shared" si="3"/>
        <v/>
      </c>
      <c r="P27" s="28">
        <v>10.19</v>
      </c>
      <c r="Q27" s="28">
        <v>12.73</v>
      </c>
      <c r="R27" s="28">
        <v>17.739999999999998</v>
      </c>
      <c r="S27" s="28">
        <v>19.25</v>
      </c>
      <c r="T27" s="28">
        <v>19.739999999999998</v>
      </c>
      <c r="U27" s="28">
        <v>3.57</v>
      </c>
      <c r="V27" s="28">
        <f t="shared" si="4"/>
        <v>83.219999999999985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176330</v>
      </c>
      <c r="C28" s="28">
        <v>0</v>
      </c>
      <c r="D28" s="28">
        <v>20894.88</v>
      </c>
      <c r="E28" s="28">
        <v>0</v>
      </c>
      <c r="F28" s="28">
        <v>158.37</v>
      </c>
      <c r="G28" s="28">
        <f t="shared" si="0"/>
        <v>158.37</v>
      </c>
      <c r="H28" s="28">
        <v>0</v>
      </c>
      <c r="I28" s="28">
        <v>0</v>
      </c>
      <c r="J28" s="112">
        <v>164</v>
      </c>
      <c r="K28" s="28">
        <f t="shared" si="1"/>
        <v>-3.4329268292682897</v>
      </c>
      <c r="L28" s="28"/>
      <c r="M28" s="28"/>
      <c r="N28" s="28">
        <f t="shared" si="2"/>
        <v>9533.8042558565357</v>
      </c>
      <c r="O28" s="28" t="str">
        <f t="shared" si="3"/>
        <v/>
      </c>
      <c r="P28" s="28">
        <v>10.210000000000001</v>
      </c>
      <c r="Q28" s="28">
        <v>12.76</v>
      </c>
      <c r="R28" s="28">
        <v>17.77</v>
      </c>
      <c r="S28" s="28">
        <v>19.27</v>
      </c>
      <c r="T28" s="28">
        <v>19.77</v>
      </c>
      <c r="U28" s="28">
        <v>3.57</v>
      </c>
      <c r="V28" s="28">
        <f t="shared" si="4"/>
        <v>83.34999999999998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176950</v>
      </c>
      <c r="C29" s="28">
        <v>25.81</v>
      </c>
      <c r="D29" s="28">
        <v>25673.21</v>
      </c>
      <c r="E29" s="28">
        <v>75.790000000000006</v>
      </c>
      <c r="F29" s="28">
        <v>83.33</v>
      </c>
      <c r="G29" s="28">
        <f t="shared" si="0"/>
        <v>159.12</v>
      </c>
      <c r="H29" s="28">
        <v>0</v>
      </c>
      <c r="I29" s="28">
        <v>0</v>
      </c>
      <c r="J29" s="112">
        <v>164</v>
      </c>
      <c r="K29" s="28">
        <f t="shared" si="1"/>
        <v>-2.9756097560975583</v>
      </c>
      <c r="L29" s="28"/>
      <c r="M29" s="28"/>
      <c r="N29" s="28">
        <f t="shared" si="2"/>
        <v>9510.497687280038</v>
      </c>
      <c r="O29" s="28" t="str">
        <f t="shared" si="3"/>
        <v/>
      </c>
      <c r="P29" s="28">
        <v>10.3</v>
      </c>
      <c r="Q29" s="28">
        <v>12.78</v>
      </c>
      <c r="R29" s="28">
        <v>17.760000000000002</v>
      </c>
      <c r="S29" s="28">
        <v>19.27</v>
      </c>
      <c r="T29" s="28">
        <v>19.77</v>
      </c>
      <c r="U29" s="28">
        <v>3.66</v>
      </c>
      <c r="V29" s="28">
        <f t="shared" si="4"/>
        <v>83.539999999999992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176960</v>
      </c>
      <c r="C30" s="28">
        <v>0</v>
      </c>
      <c r="D30" s="28">
        <v>23210.45</v>
      </c>
      <c r="E30" s="28">
        <v>79.209999999999994</v>
      </c>
      <c r="F30" s="28">
        <v>79.89</v>
      </c>
      <c r="G30" s="28">
        <f t="shared" si="0"/>
        <v>159.1</v>
      </c>
      <c r="H30" s="28">
        <v>0</v>
      </c>
      <c r="I30" s="28">
        <v>0</v>
      </c>
      <c r="J30" s="112">
        <v>164</v>
      </c>
      <c r="K30" s="28">
        <f t="shared" si="1"/>
        <v>-2.987804878048784</v>
      </c>
      <c r="L30" s="28"/>
      <c r="M30" s="28"/>
      <c r="N30" s="28">
        <f t="shared" si="2"/>
        <v>9510.5546448774367</v>
      </c>
      <c r="O30" s="28" t="str">
        <f t="shared" si="3"/>
        <v/>
      </c>
      <c r="P30" s="28">
        <v>10.38</v>
      </c>
      <c r="Q30" s="28">
        <v>12.74</v>
      </c>
      <c r="R30" s="28">
        <v>17.72</v>
      </c>
      <c r="S30" s="28">
        <v>19.22</v>
      </c>
      <c r="T30" s="28">
        <v>19.72</v>
      </c>
      <c r="U30" s="28">
        <v>3.75</v>
      </c>
      <c r="V30" s="28">
        <f t="shared" si="4"/>
        <v>83.53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175630</v>
      </c>
      <c r="C31" s="28">
        <v>0</v>
      </c>
      <c r="D31" s="28">
        <v>20145.5</v>
      </c>
      <c r="E31" s="28">
        <v>78.52</v>
      </c>
      <c r="F31" s="28">
        <v>79.2</v>
      </c>
      <c r="G31" s="28">
        <f t="shared" si="0"/>
        <v>157.72</v>
      </c>
      <c r="H31" s="28">
        <v>0</v>
      </c>
      <c r="I31" s="28">
        <v>0</v>
      </c>
      <c r="J31" s="112">
        <v>164</v>
      </c>
      <c r="K31" s="28">
        <f t="shared" si="1"/>
        <v>-3.8292682926829276</v>
      </c>
      <c r="L31" s="28"/>
      <c r="M31" s="28"/>
      <c r="N31" s="28">
        <f t="shared" si="2"/>
        <v>9601.8087750443829</v>
      </c>
      <c r="O31" s="28" t="str">
        <f t="shared" si="3"/>
        <v/>
      </c>
      <c r="P31" s="28">
        <v>10.48</v>
      </c>
      <c r="Q31" s="28">
        <v>12.72</v>
      </c>
      <c r="R31" s="28">
        <v>17.71</v>
      </c>
      <c r="S31" s="28">
        <v>19.23</v>
      </c>
      <c r="T31" s="28">
        <v>19.72</v>
      </c>
      <c r="U31" s="28">
        <v>3.74</v>
      </c>
      <c r="V31" s="28">
        <f t="shared" si="4"/>
        <v>83.6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176010</v>
      </c>
      <c r="C32" s="28">
        <v>0</v>
      </c>
      <c r="D32" s="28">
        <v>17770.63</v>
      </c>
      <c r="E32" s="28">
        <v>78.63</v>
      </c>
      <c r="F32" s="28">
        <v>79.31</v>
      </c>
      <c r="G32" s="28">
        <f t="shared" si="0"/>
        <v>157.94</v>
      </c>
      <c r="H32" s="28">
        <v>0</v>
      </c>
      <c r="I32" s="28">
        <v>0</v>
      </c>
      <c r="J32" s="112">
        <v>164</v>
      </c>
      <c r="K32" s="28">
        <f t="shared" si="1"/>
        <v>-3.6951219512195137</v>
      </c>
      <c r="L32" s="28"/>
      <c r="M32" s="28"/>
      <c r="N32" s="28">
        <f t="shared" si="2"/>
        <v>9633.1648220843399</v>
      </c>
      <c r="O32" s="28" t="str">
        <f t="shared" si="3"/>
        <v/>
      </c>
      <c r="P32" s="28">
        <v>10.29</v>
      </c>
      <c r="Q32" s="28">
        <v>12.87</v>
      </c>
      <c r="R32" s="28">
        <v>17.86</v>
      </c>
      <c r="S32" s="28">
        <v>19.37</v>
      </c>
      <c r="T32" s="28">
        <v>19.87</v>
      </c>
      <c r="U32" s="28">
        <v>3.73</v>
      </c>
      <c r="V32" s="28">
        <f t="shared" si="4"/>
        <v>83.990000000000009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175130</v>
      </c>
      <c r="C33" s="28">
        <v>0</v>
      </c>
      <c r="D33" s="28">
        <v>18966.22</v>
      </c>
      <c r="E33" s="28">
        <v>78.2</v>
      </c>
      <c r="F33" s="28">
        <v>78.88</v>
      </c>
      <c r="G33" s="28">
        <f t="shared" si="0"/>
        <v>157.07999999999998</v>
      </c>
      <c r="H33" s="28">
        <v>0</v>
      </c>
      <c r="I33" s="28">
        <v>0</v>
      </c>
      <c r="J33" s="112">
        <v>164</v>
      </c>
      <c r="K33" s="28">
        <f t="shared" si="1"/>
        <v>-4.2195121951219612</v>
      </c>
      <c r="L33" s="28"/>
      <c r="M33" s="28"/>
      <c r="N33" s="28">
        <f t="shared" si="2"/>
        <v>9546.3658263305315</v>
      </c>
      <c r="O33" s="28" t="str">
        <f t="shared" si="3"/>
        <v/>
      </c>
      <c r="P33" s="28">
        <v>10.09</v>
      </c>
      <c r="Q33" s="28">
        <v>12.79</v>
      </c>
      <c r="R33" s="28">
        <v>17.87</v>
      </c>
      <c r="S33" s="28">
        <v>17.440000000000001</v>
      </c>
      <c r="T33" s="28">
        <v>17.13</v>
      </c>
      <c r="U33" s="28">
        <v>7.46</v>
      </c>
      <c r="V33" s="28">
        <f t="shared" si="4"/>
        <v>82.779999999999987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175740</v>
      </c>
      <c r="C34" s="28">
        <v>0</v>
      </c>
      <c r="D34" s="28">
        <v>19919.8</v>
      </c>
      <c r="E34" s="28">
        <v>78.47</v>
      </c>
      <c r="F34" s="28">
        <v>79.150000000000006</v>
      </c>
      <c r="G34" s="28">
        <f t="shared" si="0"/>
        <v>157.62</v>
      </c>
      <c r="H34" s="28">
        <v>0</v>
      </c>
      <c r="I34" s="28">
        <v>0</v>
      </c>
      <c r="J34" s="112">
        <v>164</v>
      </c>
      <c r="K34" s="28">
        <f t="shared" si="1"/>
        <v>-3.8902439024390216</v>
      </c>
      <c r="L34" s="28"/>
      <c r="M34" s="28"/>
      <c r="N34" s="28">
        <f t="shared" si="2"/>
        <v>9548.138459586351</v>
      </c>
      <c r="O34" s="28" t="str">
        <f t="shared" si="3"/>
        <v/>
      </c>
      <c r="P34" s="28">
        <v>10.06</v>
      </c>
      <c r="Q34" s="28">
        <v>12.79</v>
      </c>
      <c r="R34" s="28">
        <v>17.8</v>
      </c>
      <c r="S34" s="28">
        <v>17.309999999999999</v>
      </c>
      <c r="T34" s="28">
        <v>16.8</v>
      </c>
      <c r="U34" s="28">
        <v>8.32</v>
      </c>
      <c r="V34" s="28">
        <f t="shared" si="4"/>
        <v>83.080000000000013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174910</v>
      </c>
      <c r="C35" s="28">
        <v>0</v>
      </c>
      <c r="D35" s="28">
        <v>20015.57</v>
      </c>
      <c r="E35" s="28">
        <v>78.150000000000006</v>
      </c>
      <c r="F35" s="28">
        <v>78.83</v>
      </c>
      <c r="G35" s="28">
        <f t="shared" si="0"/>
        <v>156.98000000000002</v>
      </c>
      <c r="H35" s="28">
        <v>0</v>
      </c>
      <c r="I35" s="28">
        <v>0</v>
      </c>
      <c r="J35" s="112">
        <v>164</v>
      </c>
      <c r="K35" s="116">
        <f t="shared" si="1"/>
        <v>-4.2804878048780379</v>
      </c>
      <c r="L35" s="28"/>
      <c r="M35" s="28"/>
      <c r="N35" s="28">
        <f t="shared" si="2"/>
        <v>9547.8312651293163</v>
      </c>
      <c r="O35" s="28" t="str">
        <f t="shared" si="3"/>
        <v/>
      </c>
      <c r="P35" s="28">
        <v>10.07</v>
      </c>
      <c r="Q35" s="28">
        <v>12.79</v>
      </c>
      <c r="R35" s="28">
        <v>17.8</v>
      </c>
      <c r="S35" s="28">
        <v>17.309999999999999</v>
      </c>
      <c r="T35" s="28">
        <v>16.8</v>
      </c>
      <c r="U35" s="28">
        <v>7.97</v>
      </c>
      <c r="V35" s="28">
        <f t="shared" si="4"/>
        <v>82.74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4243080</v>
      </c>
      <c r="C36" s="35">
        <f t="shared" ref="C36:J36" si="5">SUM(C12:C35)</f>
        <v>33450.46</v>
      </c>
      <c r="D36" s="35">
        <f t="shared" si="5"/>
        <v>301435.52000000002</v>
      </c>
      <c r="E36" s="35">
        <f t="shared" si="5"/>
        <v>1229.0900000000001</v>
      </c>
      <c r="F36" s="35">
        <f t="shared" si="5"/>
        <v>2579.7799999999997</v>
      </c>
      <c r="G36" s="35">
        <f t="shared" si="5"/>
        <v>3808.8699999999994</v>
      </c>
      <c r="H36" s="35">
        <f t="shared" si="5"/>
        <v>0</v>
      </c>
      <c r="I36" s="35">
        <f t="shared" si="5"/>
        <v>0</v>
      </c>
      <c r="J36" s="35">
        <f t="shared" si="5"/>
        <v>3936</v>
      </c>
      <c r="K36" s="36"/>
      <c r="L36" s="37"/>
      <c r="M36" s="38"/>
      <c r="N36" s="35">
        <f>IFERROR(AVERAGE(N12:N35),"")</f>
        <v>9588.7676030476123</v>
      </c>
      <c r="O36" s="39">
        <f t="shared" ref="O36:U36" si="6">SUM(O12:O35)</f>
        <v>0</v>
      </c>
      <c r="P36" s="39">
        <f t="shared" si="6"/>
        <v>224.74999999999997</v>
      </c>
      <c r="Q36" s="39">
        <f t="shared" si="6"/>
        <v>315.86000000000007</v>
      </c>
      <c r="R36" s="39">
        <f t="shared" si="6"/>
        <v>435.89000000000004</v>
      </c>
      <c r="S36" s="39">
        <f t="shared" si="6"/>
        <v>466.06</v>
      </c>
      <c r="T36" s="39">
        <f t="shared" si="6"/>
        <v>475.16000000000008</v>
      </c>
      <c r="U36" s="39">
        <f t="shared" si="6"/>
        <v>98.44</v>
      </c>
      <c r="V36" s="39">
        <f>SUM(V12:V35)</f>
        <v>2016.1599999999996</v>
      </c>
      <c r="W36" s="40">
        <f>SUM(W12:W35)</f>
        <v>0</v>
      </c>
      <c r="X36" s="40">
        <f>SUM(X12:X35)</f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0</v>
      </c>
      <c r="J41" s="41"/>
      <c r="K41" s="13" t="s">
        <v>59</v>
      </c>
      <c r="L41" s="113">
        <v>436718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1</v>
      </c>
      <c r="B42" s="57">
        <v>0</v>
      </c>
      <c r="C42" s="57">
        <v>0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181792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>
        <f>IFERROR(3412.14/N36,"")</f>
        <v>0.35584760641352015</v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13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Amarildo Reales Silvera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2313.9499999999998</v>
      </c>
      <c r="D58" s="81">
        <v>0</v>
      </c>
      <c r="E58" s="82">
        <v>0</v>
      </c>
      <c r="F58" s="83">
        <v>4794.75</v>
      </c>
      <c r="G58" s="82">
        <v>0</v>
      </c>
      <c r="H58" s="84">
        <f t="shared" ref="H58:H81" si="7">IF(G58=0,0,100*(E58-G58)/G58)</f>
        <v>0</v>
      </c>
      <c r="I58" s="85"/>
      <c r="J58" s="85"/>
      <c r="K58" s="86" t="str">
        <f t="shared" ref="K58:K81" si="8">IFERROR(U58*1000*2.2*$K$92/E58/1000,"")</f>
        <v/>
      </c>
      <c r="L58" s="87"/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2321.52</v>
      </c>
      <c r="D59" s="81">
        <v>0</v>
      </c>
      <c r="E59" s="82">
        <v>0</v>
      </c>
      <c r="F59" s="82">
        <v>4779.07</v>
      </c>
      <c r="G59" s="82">
        <v>0</v>
      </c>
      <c r="H59" s="91">
        <f t="shared" si="7"/>
        <v>0</v>
      </c>
      <c r="I59" s="85"/>
      <c r="J59" s="85"/>
      <c r="K59" s="86" t="str">
        <f t="shared" si="8"/>
        <v/>
      </c>
      <c r="L59" s="87" t="str">
        <f t="shared" ref="L59:L81" si="9">IF(OR(H59&gt;5,H59&lt;-5),E59-G59,"")</f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10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2310.1</v>
      </c>
      <c r="D60" s="81">
        <v>0</v>
      </c>
      <c r="E60" s="82">
        <v>0</v>
      </c>
      <c r="F60" s="82">
        <v>4727.28</v>
      </c>
      <c r="G60" s="82">
        <v>0</v>
      </c>
      <c r="H60" s="91">
        <f t="shared" si="7"/>
        <v>0</v>
      </c>
      <c r="I60" s="85"/>
      <c r="J60" s="85"/>
      <c r="K60" s="86" t="str">
        <f t="shared" si="8"/>
        <v/>
      </c>
      <c r="L60" s="87" t="str">
        <f t="shared" si="9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10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2327.65</v>
      </c>
      <c r="D61" s="81">
        <v>0</v>
      </c>
      <c r="E61" s="82">
        <v>0</v>
      </c>
      <c r="F61" s="82">
        <v>4640.2700000000004</v>
      </c>
      <c r="G61" s="82">
        <v>0</v>
      </c>
      <c r="H61" s="91">
        <f t="shared" si="7"/>
        <v>0</v>
      </c>
      <c r="I61" s="85"/>
      <c r="J61" s="85"/>
      <c r="K61" s="86" t="str">
        <f t="shared" si="8"/>
        <v/>
      </c>
      <c r="L61" s="87" t="str">
        <f t="shared" si="9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10"/>
        <v>0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2337.36</v>
      </c>
      <c r="D62" s="81">
        <v>0</v>
      </c>
      <c r="E62" s="82">
        <v>0</v>
      </c>
      <c r="F62" s="82">
        <v>4594.95</v>
      </c>
      <c r="G62" s="82">
        <v>0</v>
      </c>
      <c r="H62" s="91">
        <f t="shared" si="7"/>
        <v>0</v>
      </c>
      <c r="I62" s="85"/>
      <c r="J62" s="85"/>
      <c r="K62" s="86" t="str">
        <f t="shared" si="8"/>
        <v/>
      </c>
      <c r="L62" s="87" t="str">
        <f t="shared" si="9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10"/>
        <v>0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2305.5500000000002</v>
      </c>
      <c r="D63" s="81">
        <v>0</v>
      </c>
      <c r="E63" s="82">
        <v>0</v>
      </c>
      <c r="F63" s="82">
        <v>4664.92</v>
      </c>
      <c r="G63" s="82">
        <v>0</v>
      </c>
      <c r="H63" s="91">
        <f t="shared" si="7"/>
        <v>0</v>
      </c>
      <c r="I63" s="85"/>
      <c r="J63" s="85"/>
      <c r="K63" s="86" t="str">
        <f t="shared" si="8"/>
        <v/>
      </c>
      <c r="L63" s="87" t="str">
        <f t="shared" si="9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10"/>
        <v>0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2332.17</v>
      </c>
      <c r="D64" s="81">
        <v>0</v>
      </c>
      <c r="E64" s="82">
        <v>0</v>
      </c>
      <c r="F64" s="82">
        <v>4629.8900000000003</v>
      </c>
      <c r="G64" s="82">
        <v>0</v>
      </c>
      <c r="H64" s="91">
        <f t="shared" si="7"/>
        <v>0</v>
      </c>
      <c r="I64" s="85"/>
      <c r="J64" s="85"/>
      <c r="K64" s="86" t="str">
        <f t="shared" si="8"/>
        <v/>
      </c>
      <c r="L64" s="87" t="str">
        <f t="shared" si="9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10"/>
        <v>0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2119.06</v>
      </c>
      <c r="D65" s="81">
        <v>0</v>
      </c>
      <c r="E65" s="82">
        <v>0</v>
      </c>
      <c r="F65" s="82">
        <v>4951.8599999999997</v>
      </c>
      <c r="G65" s="82">
        <v>0</v>
      </c>
      <c r="H65" s="91">
        <f t="shared" si="7"/>
        <v>0</v>
      </c>
      <c r="I65" s="85"/>
      <c r="J65" s="85"/>
      <c r="K65" s="86" t="str">
        <f t="shared" si="8"/>
        <v/>
      </c>
      <c r="L65" s="87" t="str">
        <f t="shared" si="9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10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1951.78</v>
      </c>
      <c r="D66" s="81">
        <v>0</v>
      </c>
      <c r="E66" s="82">
        <v>0</v>
      </c>
      <c r="F66" s="82">
        <v>5059.83</v>
      </c>
      <c r="G66" s="82">
        <v>0</v>
      </c>
      <c r="H66" s="91">
        <f t="shared" si="7"/>
        <v>0</v>
      </c>
      <c r="I66" s="85"/>
      <c r="J66" s="85"/>
      <c r="K66" s="86" t="str">
        <f t="shared" si="8"/>
        <v/>
      </c>
      <c r="L66" s="87" t="str">
        <f t="shared" si="9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10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1972.7</v>
      </c>
      <c r="D67" s="81">
        <v>0</v>
      </c>
      <c r="E67" s="82">
        <v>0</v>
      </c>
      <c r="F67" s="82">
        <v>4988.8100000000004</v>
      </c>
      <c r="G67" s="82">
        <v>0</v>
      </c>
      <c r="H67" s="91">
        <f t="shared" si="7"/>
        <v>0</v>
      </c>
      <c r="I67" s="85"/>
      <c r="J67" s="85"/>
      <c r="K67" s="86" t="str">
        <f t="shared" si="8"/>
        <v/>
      </c>
      <c r="L67" s="87" t="str">
        <f t="shared" si="9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10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1945.58</v>
      </c>
      <c r="D68" s="81">
        <v>0</v>
      </c>
      <c r="E68" s="82">
        <v>0</v>
      </c>
      <c r="F68" s="82">
        <v>5108.53</v>
      </c>
      <c r="G68" s="82">
        <v>0</v>
      </c>
      <c r="H68" s="91">
        <f t="shared" si="7"/>
        <v>0</v>
      </c>
      <c r="I68" s="85"/>
      <c r="K68" s="86" t="str">
        <f t="shared" si="8"/>
        <v/>
      </c>
      <c r="L68" s="87" t="str">
        <f t="shared" si="9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10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2127.94</v>
      </c>
      <c r="D69" s="81">
        <v>0</v>
      </c>
      <c r="E69" s="82">
        <v>0</v>
      </c>
      <c r="F69" s="82">
        <v>5023.83</v>
      </c>
      <c r="G69" s="82">
        <v>0</v>
      </c>
      <c r="H69" s="91">
        <f t="shared" si="7"/>
        <v>0</v>
      </c>
      <c r="I69" s="85"/>
      <c r="J69" s="85"/>
      <c r="K69" s="86" t="str">
        <f t="shared" si="8"/>
        <v/>
      </c>
      <c r="L69" s="87" t="str">
        <f t="shared" si="9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10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1953.97</v>
      </c>
      <c r="D70" s="81">
        <v>0</v>
      </c>
      <c r="E70" s="82">
        <v>0</v>
      </c>
      <c r="F70" s="82">
        <v>6205.68</v>
      </c>
      <c r="G70" s="82">
        <v>0</v>
      </c>
      <c r="H70" s="91">
        <f t="shared" si="7"/>
        <v>0</v>
      </c>
      <c r="I70" s="85"/>
      <c r="J70" s="85"/>
      <c r="K70" s="86" t="str">
        <f t="shared" si="8"/>
        <v/>
      </c>
      <c r="L70" s="87" t="str">
        <f t="shared" si="9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10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2085.0700000000002</v>
      </c>
      <c r="D71" s="81">
        <v>0</v>
      </c>
      <c r="E71" s="82">
        <v>0</v>
      </c>
      <c r="F71" s="82">
        <v>5456.33</v>
      </c>
      <c r="G71" s="82">
        <v>0</v>
      </c>
      <c r="H71" s="91">
        <f t="shared" si="7"/>
        <v>0</v>
      </c>
      <c r="I71" s="85"/>
      <c r="J71" s="85"/>
      <c r="K71" s="86" t="str">
        <f t="shared" si="8"/>
        <v/>
      </c>
      <c r="L71" s="87" t="str">
        <f t="shared" si="9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10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2241.41</v>
      </c>
      <c r="D72" s="81">
        <v>0</v>
      </c>
      <c r="E72" s="82">
        <v>0</v>
      </c>
      <c r="F72" s="82">
        <v>4814.1499999999996</v>
      </c>
      <c r="G72" s="82">
        <v>0</v>
      </c>
      <c r="H72" s="91">
        <f t="shared" si="7"/>
        <v>0</v>
      </c>
      <c r="I72" s="85"/>
      <c r="J72" s="85"/>
      <c r="K72" s="86" t="str">
        <f t="shared" si="8"/>
        <v/>
      </c>
      <c r="L72" s="87" t="str">
        <f t="shared" si="9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10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2248.63</v>
      </c>
      <c r="D73" s="81">
        <v>0</v>
      </c>
      <c r="E73" s="82">
        <v>0</v>
      </c>
      <c r="F73" s="82">
        <v>4816.5</v>
      </c>
      <c r="G73" s="82">
        <v>0</v>
      </c>
      <c r="H73" s="91">
        <f t="shared" si="7"/>
        <v>0</v>
      </c>
      <c r="I73" s="85"/>
      <c r="J73" s="85"/>
      <c r="K73" s="86" t="str">
        <f t="shared" si="8"/>
        <v/>
      </c>
      <c r="L73" s="87" t="str">
        <f t="shared" si="9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10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2223.69</v>
      </c>
      <c r="D74" s="81">
        <v>0.24</v>
      </c>
      <c r="E74" s="82">
        <v>0</v>
      </c>
      <c r="F74" s="82">
        <v>4915.53</v>
      </c>
      <c r="G74" s="82">
        <v>0</v>
      </c>
      <c r="H74" s="91">
        <f t="shared" si="7"/>
        <v>0</v>
      </c>
      <c r="I74" s="85"/>
      <c r="J74" s="85"/>
      <c r="K74" s="86" t="str">
        <f t="shared" si="8"/>
        <v/>
      </c>
      <c r="L74" s="87" t="str">
        <f t="shared" si="9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10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2082.08</v>
      </c>
      <c r="D75" s="81">
        <v>0</v>
      </c>
      <c r="E75" s="82">
        <v>0</v>
      </c>
      <c r="F75" s="82">
        <v>5163.21</v>
      </c>
      <c r="G75" s="82">
        <v>0</v>
      </c>
      <c r="H75" s="91">
        <f t="shared" si="7"/>
        <v>0</v>
      </c>
      <c r="I75" s="85"/>
      <c r="J75" s="85"/>
      <c r="K75" s="86" t="str">
        <f t="shared" si="8"/>
        <v/>
      </c>
      <c r="L75" s="87" t="str">
        <f t="shared" si="9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10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2266.44</v>
      </c>
      <c r="D76" s="81">
        <v>0</v>
      </c>
      <c r="E76" s="82">
        <v>0</v>
      </c>
      <c r="F76" s="82">
        <v>4874.04</v>
      </c>
      <c r="G76" s="82">
        <v>0</v>
      </c>
      <c r="H76" s="91">
        <f t="shared" si="7"/>
        <v>0</v>
      </c>
      <c r="I76" s="85"/>
      <c r="J76" s="85"/>
      <c r="K76" s="86" t="str">
        <f t="shared" si="8"/>
        <v/>
      </c>
      <c r="L76" s="87" t="str">
        <f t="shared" si="9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10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2273.66</v>
      </c>
      <c r="D77" s="81">
        <v>0</v>
      </c>
      <c r="E77" s="82">
        <v>0</v>
      </c>
      <c r="F77" s="82">
        <v>4881.8900000000003</v>
      </c>
      <c r="G77" s="82">
        <v>0</v>
      </c>
      <c r="H77" s="91">
        <f t="shared" si="7"/>
        <v>0</v>
      </c>
      <c r="I77" s="85"/>
      <c r="J77" s="85"/>
      <c r="K77" s="86" t="str">
        <f t="shared" si="8"/>
        <v/>
      </c>
      <c r="L77" s="87" t="str">
        <f t="shared" si="9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10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2282.84</v>
      </c>
      <c r="D78" s="81">
        <v>0</v>
      </c>
      <c r="E78" s="82">
        <v>0</v>
      </c>
      <c r="F78" s="82">
        <v>5058.2299999999996</v>
      </c>
      <c r="G78" s="82">
        <v>0</v>
      </c>
      <c r="H78" s="91">
        <f t="shared" si="7"/>
        <v>0</v>
      </c>
      <c r="I78" s="85"/>
      <c r="J78" s="85"/>
      <c r="K78" s="86" t="str">
        <f t="shared" si="8"/>
        <v/>
      </c>
      <c r="L78" s="87" t="str">
        <f t="shared" si="9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0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2314</v>
      </c>
      <c r="D79" s="81">
        <v>0</v>
      </c>
      <c r="E79" s="82">
        <v>0</v>
      </c>
      <c r="F79" s="82">
        <v>4934.03</v>
      </c>
      <c r="G79" s="82">
        <v>0</v>
      </c>
      <c r="H79" s="91">
        <f t="shared" si="7"/>
        <v>0</v>
      </c>
      <c r="I79" s="85"/>
      <c r="J79" s="85"/>
      <c r="K79" s="86" t="str">
        <f t="shared" si="8"/>
        <v/>
      </c>
      <c r="L79" s="87" t="str">
        <f t="shared" si="9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0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2328.96</v>
      </c>
      <c r="D80" s="81">
        <v>0</v>
      </c>
      <c r="E80" s="82">
        <v>0</v>
      </c>
      <c r="F80" s="82">
        <v>4890.22</v>
      </c>
      <c r="G80" s="82">
        <v>0</v>
      </c>
      <c r="H80" s="91">
        <f t="shared" si="7"/>
        <v>0</v>
      </c>
      <c r="I80" s="85"/>
      <c r="J80" s="85"/>
      <c r="K80" s="86" t="str">
        <f t="shared" si="8"/>
        <v/>
      </c>
      <c r="L80" s="87" t="str">
        <f t="shared" si="9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0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2298.27</v>
      </c>
      <c r="D81" s="28">
        <v>0</v>
      </c>
      <c r="E81" s="96">
        <v>0</v>
      </c>
      <c r="F81" s="97">
        <v>5030.59</v>
      </c>
      <c r="G81" s="82">
        <v>0</v>
      </c>
      <c r="H81" s="98">
        <f t="shared" si="7"/>
        <v>0</v>
      </c>
      <c r="I81" s="115"/>
      <c r="J81" s="85"/>
      <c r="K81" s="99" t="str">
        <f t="shared" si="8"/>
        <v/>
      </c>
      <c r="L81" s="87" t="str">
        <f t="shared" si="9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0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1">SUM(B58:B81)</f>
        <v>0</v>
      </c>
      <c r="C82" s="35">
        <f t="shared" si="11"/>
        <v>52964.37999999999</v>
      </c>
      <c r="D82" s="35">
        <f t="shared" si="11"/>
        <v>0.24</v>
      </c>
      <c r="E82" s="35">
        <f t="shared" si="11"/>
        <v>0</v>
      </c>
      <c r="F82" s="101">
        <f t="shared" si="11"/>
        <v>119004.38999999998</v>
      </c>
      <c r="G82" s="35">
        <f t="shared" si="11"/>
        <v>0</v>
      </c>
      <c r="H82" s="102"/>
      <c r="I82" s="103"/>
      <c r="J82" s="104"/>
      <c r="K82" s="105" t="str">
        <f>IFERROR(AVERAGE(K58:K81),"")</f>
        <v/>
      </c>
      <c r="L82" s="40">
        <f t="shared" ref="L82:U82" si="12">SUM(L58:L81)</f>
        <v>0</v>
      </c>
      <c r="M82" s="40">
        <f t="shared" si="12"/>
        <v>0</v>
      </c>
      <c r="N82" s="39">
        <f t="shared" si="12"/>
        <v>0</v>
      </c>
      <c r="O82" s="39">
        <f t="shared" si="12"/>
        <v>0</v>
      </c>
      <c r="P82" s="39">
        <f t="shared" si="12"/>
        <v>0</v>
      </c>
      <c r="Q82" s="39">
        <f t="shared" si="12"/>
        <v>0</v>
      </c>
      <c r="R82" s="39">
        <f t="shared" si="12"/>
        <v>0</v>
      </c>
      <c r="S82" s="39">
        <f t="shared" si="12"/>
        <v>0</v>
      </c>
      <c r="T82" s="39">
        <f t="shared" si="12"/>
        <v>0</v>
      </c>
      <c r="U82" s="39">
        <f t="shared" si="12"/>
        <v>0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119004.38999999998</v>
      </c>
      <c r="J87" s="41"/>
      <c r="K87" s="62" t="s">
        <v>59</v>
      </c>
      <c r="L87" s="113">
        <v>6659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</v>
      </c>
      <c r="B88" s="57">
        <v>0</v>
      </c>
      <c r="C88" s="57">
        <v>1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2317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 t="str">
        <f>IFERROR(3412.14/K82,"")</f>
        <v/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K90:L90"/>
    <mergeCell ref="B91:B92"/>
    <mergeCell ref="C91:I92"/>
    <mergeCell ref="K91:L91"/>
    <mergeCell ref="K92:L92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A85:A86"/>
    <mergeCell ref="B85:B86"/>
    <mergeCell ref="C85:C86"/>
    <mergeCell ref="D85:D86"/>
    <mergeCell ref="H85:I8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H41:H42"/>
    <mergeCell ref="I41:I42"/>
    <mergeCell ref="K44:L44"/>
    <mergeCell ref="C45:I46"/>
    <mergeCell ref="K45:L45"/>
    <mergeCell ref="K46:L46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A39:A40"/>
    <mergeCell ref="B39:B40"/>
    <mergeCell ref="C39:C40"/>
    <mergeCell ref="D39:D40"/>
    <mergeCell ref="H39:I40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1:C1"/>
    <mergeCell ref="D1:U2"/>
    <mergeCell ref="V1:X4"/>
    <mergeCell ref="A2:C2"/>
    <mergeCell ref="A3:C3"/>
    <mergeCell ref="D3:U4"/>
    <mergeCell ref="A4:C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CD81-6FD3-4D9E-B35E-C84915152A8F}">
  <dimension ref="A1:Z109"/>
  <sheetViews>
    <sheetView zoomScale="85" zoomScaleNormal="85" workbookViewId="0">
      <selection activeCell="L89" sqref="L89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14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82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175440</v>
      </c>
      <c r="C12" s="28">
        <v>0</v>
      </c>
      <c r="D12" s="28">
        <v>19989.849999999999</v>
      </c>
      <c r="E12" s="28">
        <v>78.44</v>
      </c>
      <c r="F12" s="28">
        <v>79.11</v>
      </c>
      <c r="G12" s="28">
        <f t="shared" ref="G12:G35" si="0">+E12+F12</f>
        <v>157.55000000000001</v>
      </c>
      <c r="H12" s="28">
        <v>0</v>
      </c>
      <c r="I12" s="28">
        <v>0</v>
      </c>
      <c r="J12" s="112">
        <v>164</v>
      </c>
      <c r="K12" s="28">
        <f t="shared" ref="K12:K35" si="1">IF(J12=0,0,100*(G12-J12)/J12)</f>
        <v>-3.9329268292682857</v>
      </c>
      <c r="L12" s="28"/>
      <c r="M12" s="28"/>
      <c r="N12" s="28">
        <f t="shared" ref="N12:N35" si="2">IFERROR(V12*1000*2.2*$K$46/G12/1000,"")</f>
        <v>9593.7728467153283</v>
      </c>
      <c r="O12" s="28" t="str">
        <f t="shared" ref="O12:O35" si="3">IF(OR(K12&gt;5,K12&lt;-5),G12-J12,"")</f>
        <v/>
      </c>
      <c r="P12" s="28">
        <v>9.84</v>
      </c>
      <c r="Q12" s="28">
        <v>12.8</v>
      </c>
      <c r="R12" s="28">
        <v>17.8</v>
      </c>
      <c r="S12" s="28">
        <v>17.239999999999998</v>
      </c>
      <c r="T12" s="28">
        <v>16.79</v>
      </c>
      <c r="U12" s="28">
        <v>8.9700000000000006</v>
      </c>
      <c r="V12" s="28">
        <f t="shared" ref="V12:V35" si="4">+SUM(P12:U12)</f>
        <v>83.44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175520</v>
      </c>
      <c r="C13" s="28">
        <v>0</v>
      </c>
      <c r="D13" s="28">
        <v>14795.28</v>
      </c>
      <c r="E13" s="28">
        <v>78.489999999999995</v>
      </c>
      <c r="F13" s="28">
        <v>79.180000000000007</v>
      </c>
      <c r="G13" s="28">
        <f t="shared" si="0"/>
        <v>157.67000000000002</v>
      </c>
      <c r="H13" s="28">
        <v>0</v>
      </c>
      <c r="I13" s="28">
        <v>0</v>
      </c>
      <c r="J13" s="112">
        <v>164</v>
      </c>
      <c r="K13" s="28">
        <f t="shared" si="1"/>
        <v>-3.8597560975609659</v>
      </c>
      <c r="L13" s="28"/>
      <c r="M13" s="28"/>
      <c r="N13" s="28">
        <f t="shared" si="2"/>
        <v>9601.4069639119698</v>
      </c>
      <c r="O13" s="28" t="str">
        <f t="shared" si="3"/>
        <v/>
      </c>
      <c r="P13" s="28">
        <v>9.81</v>
      </c>
      <c r="Q13" s="28">
        <v>12.81</v>
      </c>
      <c r="R13" s="28">
        <v>17.8</v>
      </c>
      <c r="S13" s="28">
        <v>16.809999999999999</v>
      </c>
      <c r="T13" s="28">
        <v>16.8</v>
      </c>
      <c r="U13" s="28">
        <v>9.5399999999999991</v>
      </c>
      <c r="V13" s="28">
        <f t="shared" si="4"/>
        <v>83.57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175280</v>
      </c>
      <c r="C14" s="28">
        <v>0</v>
      </c>
      <c r="D14" s="28">
        <v>12600.92</v>
      </c>
      <c r="E14" s="28">
        <v>78.36</v>
      </c>
      <c r="F14" s="28">
        <v>79.040000000000006</v>
      </c>
      <c r="G14" s="28">
        <f t="shared" si="0"/>
        <v>157.4</v>
      </c>
      <c r="H14" s="28">
        <v>0</v>
      </c>
      <c r="I14" s="28">
        <v>0</v>
      </c>
      <c r="J14" s="112">
        <v>164</v>
      </c>
      <c r="K14" s="28">
        <f t="shared" si="1"/>
        <v>-4.0243902439024355</v>
      </c>
      <c r="L14" s="28"/>
      <c r="M14" s="28"/>
      <c r="N14" s="28">
        <f t="shared" si="2"/>
        <v>9623.6313595933934</v>
      </c>
      <c r="O14" s="28" t="str">
        <f t="shared" si="3"/>
        <v/>
      </c>
      <c r="P14" s="28">
        <v>9.81</v>
      </c>
      <c r="Q14" s="28">
        <v>12.79</v>
      </c>
      <c r="R14" s="28">
        <v>17.8</v>
      </c>
      <c r="S14" s="28">
        <v>16.809999999999999</v>
      </c>
      <c r="T14" s="28">
        <v>16.8</v>
      </c>
      <c r="U14" s="28">
        <v>9.61</v>
      </c>
      <c r="V14" s="28">
        <f t="shared" si="4"/>
        <v>83.62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175040</v>
      </c>
      <c r="C15" s="28">
        <v>0</v>
      </c>
      <c r="D15" s="28">
        <v>13672.71</v>
      </c>
      <c r="E15" s="28">
        <v>78.319999999999993</v>
      </c>
      <c r="F15" s="28">
        <v>79</v>
      </c>
      <c r="G15" s="28">
        <f t="shared" si="0"/>
        <v>157.32</v>
      </c>
      <c r="H15" s="28">
        <v>0</v>
      </c>
      <c r="I15" s="28">
        <v>0</v>
      </c>
      <c r="J15" s="112">
        <v>164</v>
      </c>
      <c r="K15" s="28">
        <f t="shared" si="1"/>
        <v>-4.0731707317073216</v>
      </c>
      <c r="L15" s="28"/>
      <c r="M15" s="28"/>
      <c r="N15" s="28">
        <f t="shared" si="2"/>
        <v>9644.6456140350911</v>
      </c>
      <c r="O15" s="28" t="str">
        <f t="shared" si="3"/>
        <v/>
      </c>
      <c r="P15" s="28">
        <v>9.34</v>
      </c>
      <c r="Q15" s="28">
        <v>12.79</v>
      </c>
      <c r="R15" s="28">
        <v>17.8</v>
      </c>
      <c r="S15" s="28">
        <v>16.8</v>
      </c>
      <c r="T15" s="28">
        <v>16.8</v>
      </c>
      <c r="U15" s="28">
        <v>10.23</v>
      </c>
      <c r="V15" s="28">
        <f t="shared" si="4"/>
        <v>83.76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175150</v>
      </c>
      <c r="C16" s="28">
        <v>0</v>
      </c>
      <c r="D16" s="28">
        <v>14820.34</v>
      </c>
      <c r="E16" s="28">
        <v>78.34</v>
      </c>
      <c r="F16" s="28">
        <v>79.02</v>
      </c>
      <c r="G16" s="28">
        <f t="shared" si="0"/>
        <v>157.36000000000001</v>
      </c>
      <c r="H16" s="28">
        <v>0</v>
      </c>
      <c r="I16" s="28">
        <v>0</v>
      </c>
      <c r="J16" s="112">
        <v>164</v>
      </c>
      <c r="K16" s="28">
        <f t="shared" si="1"/>
        <v>-4.0487804878048701</v>
      </c>
      <c r="L16" s="28"/>
      <c r="M16" s="28"/>
      <c r="N16" s="28">
        <f t="shared" si="2"/>
        <v>9676.7290798169815</v>
      </c>
      <c r="O16" s="28" t="str">
        <f t="shared" si="3"/>
        <v/>
      </c>
      <c r="P16" s="28">
        <v>9.4</v>
      </c>
      <c r="Q16" s="28">
        <v>12.81</v>
      </c>
      <c r="R16" s="28">
        <v>17.8</v>
      </c>
      <c r="S16" s="28">
        <v>17.100000000000001</v>
      </c>
      <c r="T16" s="28">
        <v>16.8</v>
      </c>
      <c r="U16" s="28">
        <v>10.15</v>
      </c>
      <c r="V16" s="28">
        <f t="shared" si="4"/>
        <v>84.060000000000016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174430</v>
      </c>
      <c r="C17" s="28">
        <v>0</v>
      </c>
      <c r="D17" s="28">
        <v>16260.88</v>
      </c>
      <c r="E17" s="28">
        <v>77.98</v>
      </c>
      <c r="F17" s="28">
        <v>78.66</v>
      </c>
      <c r="G17" s="28">
        <f t="shared" si="0"/>
        <v>156.63999999999999</v>
      </c>
      <c r="H17" s="28">
        <v>0</v>
      </c>
      <c r="I17" s="28">
        <v>0</v>
      </c>
      <c r="J17" s="112">
        <v>164</v>
      </c>
      <c r="K17" s="28">
        <f t="shared" si="1"/>
        <v>-4.4878048780487889</v>
      </c>
      <c r="L17" s="28"/>
      <c r="M17" s="28"/>
      <c r="N17" s="28">
        <f t="shared" si="2"/>
        <v>9646.0384831460688</v>
      </c>
      <c r="O17" s="28" t="str">
        <f t="shared" si="3"/>
        <v/>
      </c>
      <c r="P17" s="28">
        <v>9.16</v>
      </c>
      <c r="Q17" s="28">
        <v>12.8</v>
      </c>
      <c r="R17" s="28">
        <v>17.8</v>
      </c>
      <c r="S17" s="28">
        <v>16.8</v>
      </c>
      <c r="T17" s="28">
        <v>16.809999999999999</v>
      </c>
      <c r="U17" s="28">
        <v>10.039999999999999</v>
      </c>
      <c r="V17" s="28">
        <f t="shared" si="4"/>
        <v>83.41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174740</v>
      </c>
      <c r="C18" s="28">
        <v>0</v>
      </c>
      <c r="D18" s="28">
        <v>17314.099999999999</v>
      </c>
      <c r="E18" s="28">
        <v>78.11</v>
      </c>
      <c r="F18" s="28">
        <v>78.78</v>
      </c>
      <c r="G18" s="28">
        <f t="shared" si="0"/>
        <v>156.88999999999999</v>
      </c>
      <c r="H18" s="28">
        <v>0</v>
      </c>
      <c r="I18" s="28">
        <v>0</v>
      </c>
      <c r="J18" s="112">
        <v>164</v>
      </c>
      <c r="K18" s="28">
        <f t="shared" si="1"/>
        <v>-4.3353658536585451</v>
      </c>
      <c r="L18" s="28"/>
      <c r="M18" s="28"/>
      <c r="N18" s="28">
        <f t="shared" si="2"/>
        <v>9765.7580725348998</v>
      </c>
      <c r="O18" s="28" t="str">
        <f t="shared" si="3"/>
        <v/>
      </c>
      <c r="P18" s="28">
        <v>9.07</v>
      </c>
      <c r="Q18" s="28">
        <v>12.79</v>
      </c>
      <c r="R18" s="28">
        <v>17.8</v>
      </c>
      <c r="S18" s="28">
        <v>16.8</v>
      </c>
      <c r="T18" s="28">
        <v>18.559999999999999</v>
      </c>
      <c r="U18" s="28">
        <v>9.56</v>
      </c>
      <c r="V18" s="28">
        <f t="shared" si="4"/>
        <v>84.58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175440</v>
      </c>
      <c r="C19" s="28">
        <v>0</v>
      </c>
      <c r="D19" s="28">
        <v>16812.129999999997</v>
      </c>
      <c r="E19" s="28">
        <v>78.31</v>
      </c>
      <c r="F19" s="28">
        <v>78.98</v>
      </c>
      <c r="G19" s="28">
        <f t="shared" si="0"/>
        <v>157.29000000000002</v>
      </c>
      <c r="H19" s="28">
        <v>0</v>
      </c>
      <c r="I19" s="28">
        <v>0</v>
      </c>
      <c r="J19" s="112">
        <v>164</v>
      </c>
      <c r="K19" s="28">
        <f t="shared" si="1"/>
        <v>-4.0914634146341342</v>
      </c>
      <c r="L19" s="28"/>
      <c r="M19" s="28"/>
      <c r="N19" s="28">
        <f t="shared" si="2"/>
        <v>9738.6196706720057</v>
      </c>
      <c r="O19" s="28" t="str">
        <f t="shared" si="3"/>
        <v/>
      </c>
      <c r="P19" s="28">
        <v>9.0399999999999991</v>
      </c>
      <c r="Q19" s="28">
        <v>12.8</v>
      </c>
      <c r="R19" s="28">
        <v>17.809999999999999</v>
      </c>
      <c r="S19" s="28">
        <v>16.809999999999999</v>
      </c>
      <c r="T19" s="28">
        <v>18.8</v>
      </c>
      <c r="U19" s="28">
        <v>9.3000000000000007</v>
      </c>
      <c r="V19" s="28">
        <f t="shared" si="4"/>
        <v>84.559999999999988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174720</v>
      </c>
      <c r="C20" s="28">
        <v>0</v>
      </c>
      <c r="D20" s="28">
        <v>16192.91</v>
      </c>
      <c r="E20" s="28">
        <v>78.05</v>
      </c>
      <c r="F20" s="28">
        <v>78.709999999999994</v>
      </c>
      <c r="G20" s="28">
        <f t="shared" si="0"/>
        <v>156.76</v>
      </c>
      <c r="H20" s="28">
        <v>0</v>
      </c>
      <c r="I20" s="28">
        <v>0</v>
      </c>
      <c r="J20" s="112">
        <v>164</v>
      </c>
      <c r="K20" s="28">
        <f t="shared" si="1"/>
        <v>-4.4146341463414691</v>
      </c>
      <c r="L20" s="28"/>
      <c r="M20" s="28"/>
      <c r="N20" s="28">
        <f t="shared" si="2"/>
        <v>9750.745241132945</v>
      </c>
      <c r="O20" s="28" t="str">
        <f t="shared" si="3"/>
        <v/>
      </c>
      <c r="P20" s="28">
        <v>8.9600000000000009</v>
      </c>
      <c r="Q20" s="28">
        <v>12.8</v>
      </c>
      <c r="R20" s="28">
        <v>17.8</v>
      </c>
      <c r="S20" s="28">
        <v>16.8</v>
      </c>
      <c r="T20" s="28">
        <v>18.8</v>
      </c>
      <c r="U20" s="28">
        <v>9.2200000000000006</v>
      </c>
      <c r="V20" s="28">
        <f t="shared" si="4"/>
        <v>84.38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174980</v>
      </c>
      <c r="C21" s="28">
        <v>46.97</v>
      </c>
      <c r="D21" s="28">
        <v>18328.05</v>
      </c>
      <c r="E21" s="28">
        <v>125.82</v>
      </c>
      <c r="F21" s="28">
        <v>30.75</v>
      </c>
      <c r="G21" s="28">
        <f t="shared" si="0"/>
        <v>156.57</v>
      </c>
      <c r="H21" s="28">
        <v>0</v>
      </c>
      <c r="I21" s="28">
        <v>0</v>
      </c>
      <c r="J21" s="112">
        <v>164</v>
      </c>
      <c r="K21" s="28">
        <f t="shared" si="1"/>
        <v>-4.530487804878053</v>
      </c>
      <c r="L21" s="28"/>
      <c r="M21" s="28"/>
      <c r="N21" s="28">
        <f t="shared" si="2"/>
        <v>9783.4035128057731</v>
      </c>
      <c r="O21" s="28" t="str">
        <f t="shared" si="3"/>
        <v/>
      </c>
      <c r="P21" s="28">
        <v>9</v>
      </c>
      <c r="Q21" s="28">
        <v>12.8</v>
      </c>
      <c r="R21" s="28">
        <v>17.8</v>
      </c>
      <c r="S21" s="28">
        <v>16.809999999999999</v>
      </c>
      <c r="T21" s="28">
        <v>18.8</v>
      </c>
      <c r="U21" s="28">
        <v>9.35</v>
      </c>
      <c r="V21" s="28">
        <f t="shared" si="4"/>
        <v>84.559999999999988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175290</v>
      </c>
      <c r="C22" s="28">
        <v>0</v>
      </c>
      <c r="D22" s="28">
        <v>18765.73</v>
      </c>
      <c r="E22" s="28">
        <v>156.71</v>
      </c>
      <c r="F22" s="28">
        <v>0</v>
      </c>
      <c r="G22" s="28">
        <f t="shared" si="0"/>
        <v>156.71</v>
      </c>
      <c r="H22" s="28">
        <v>0</v>
      </c>
      <c r="I22" s="28">
        <v>0</v>
      </c>
      <c r="J22" s="112">
        <v>164</v>
      </c>
      <c r="K22" s="28">
        <f t="shared" si="1"/>
        <v>-4.445121951219507</v>
      </c>
      <c r="L22" s="28"/>
      <c r="M22" s="28"/>
      <c r="N22" s="28">
        <f t="shared" si="2"/>
        <v>9803.5619169165984</v>
      </c>
      <c r="O22" s="28" t="str">
        <f t="shared" si="3"/>
        <v/>
      </c>
      <c r="P22" s="28">
        <v>9.1300000000000008</v>
      </c>
      <c r="Q22" s="28">
        <v>12.8</v>
      </c>
      <c r="R22" s="28">
        <v>17.8</v>
      </c>
      <c r="S22" s="28">
        <v>16.809999999999999</v>
      </c>
      <c r="T22" s="28">
        <v>18.8</v>
      </c>
      <c r="U22" s="28">
        <v>9.4700000000000006</v>
      </c>
      <c r="V22" s="28">
        <f t="shared" si="4"/>
        <v>84.81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175900</v>
      </c>
      <c r="C23" s="28">
        <v>0</v>
      </c>
      <c r="D23" s="28">
        <v>19124.060000000001</v>
      </c>
      <c r="E23" s="28">
        <v>157.37</v>
      </c>
      <c r="F23" s="28">
        <v>0</v>
      </c>
      <c r="G23" s="28">
        <f t="shared" si="0"/>
        <v>157.37</v>
      </c>
      <c r="H23" s="28">
        <v>0</v>
      </c>
      <c r="I23" s="28">
        <v>0</v>
      </c>
      <c r="J23" s="112">
        <v>164</v>
      </c>
      <c r="K23" s="28">
        <f t="shared" si="1"/>
        <v>-4.0426829268292659</v>
      </c>
      <c r="L23" s="28"/>
      <c r="M23" s="28"/>
      <c r="N23" s="28">
        <f t="shared" si="2"/>
        <v>9866.0450403507693</v>
      </c>
      <c r="O23" s="28" t="str">
        <f t="shared" si="3"/>
        <v/>
      </c>
      <c r="P23" s="28">
        <v>9.69</v>
      </c>
      <c r="Q23" s="28">
        <v>12.8</v>
      </c>
      <c r="R23" s="28">
        <v>17.8</v>
      </c>
      <c r="S23" s="28">
        <v>16.809999999999999</v>
      </c>
      <c r="T23" s="28">
        <v>18.8</v>
      </c>
      <c r="U23" s="28">
        <v>9.81</v>
      </c>
      <c r="V23" s="28">
        <f t="shared" si="4"/>
        <v>85.710000000000008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177060</v>
      </c>
      <c r="C24" s="28">
        <v>0</v>
      </c>
      <c r="D24" s="28">
        <v>19629.419999999998</v>
      </c>
      <c r="E24" s="28">
        <v>158.5</v>
      </c>
      <c r="F24" s="28">
        <v>0</v>
      </c>
      <c r="G24" s="28">
        <f t="shared" si="0"/>
        <v>158.5</v>
      </c>
      <c r="H24" s="28">
        <v>0</v>
      </c>
      <c r="I24" s="28">
        <v>0</v>
      </c>
      <c r="J24" s="112">
        <v>164</v>
      </c>
      <c r="K24" s="28">
        <f t="shared" si="1"/>
        <v>-3.3536585365853657</v>
      </c>
      <c r="L24" s="28"/>
      <c r="M24" s="28"/>
      <c r="N24" s="28">
        <f t="shared" si="2"/>
        <v>9816.2786876971622</v>
      </c>
      <c r="O24" s="28" t="str">
        <f t="shared" si="3"/>
        <v/>
      </c>
      <c r="P24" s="28">
        <v>9.8000000000000007</v>
      </c>
      <c r="Q24" s="28">
        <v>12.81</v>
      </c>
      <c r="R24" s="28">
        <v>17.8</v>
      </c>
      <c r="S24" s="28">
        <v>16.809999999999999</v>
      </c>
      <c r="T24" s="28">
        <v>18.8</v>
      </c>
      <c r="U24" s="28">
        <v>9.8699999999999992</v>
      </c>
      <c r="V24" s="28">
        <f t="shared" si="4"/>
        <v>85.89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177210</v>
      </c>
      <c r="C25" s="28">
        <v>0</v>
      </c>
      <c r="D25" s="28">
        <v>19488.66</v>
      </c>
      <c r="E25" s="28">
        <v>158.58000000000001</v>
      </c>
      <c r="F25" s="28">
        <v>0</v>
      </c>
      <c r="G25" s="28">
        <f t="shared" si="0"/>
        <v>158.58000000000001</v>
      </c>
      <c r="H25" s="28">
        <v>0</v>
      </c>
      <c r="I25" s="28">
        <v>0</v>
      </c>
      <c r="J25" s="112">
        <v>164</v>
      </c>
      <c r="K25" s="28">
        <f t="shared" si="1"/>
        <v>-3.3048780487804801</v>
      </c>
      <c r="L25" s="28"/>
      <c r="M25" s="28"/>
      <c r="N25" s="28">
        <f t="shared" si="2"/>
        <v>9796.4765291966196</v>
      </c>
      <c r="O25" s="28" t="str">
        <f t="shared" si="3"/>
        <v/>
      </c>
      <c r="P25" s="28">
        <v>9.74</v>
      </c>
      <c r="Q25" s="28">
        <v>12.8</v>
      </c>
      <c r="R25" s="28">
        <v>17.8</v>
      </c>
      <c r="S25" s="28">
        <v>16.809999999999999</v>
      </c>
      <c r="T25" s="28">
        <v>18.8</v>
      </c>
      <c r="U25" s="28">
        <v>9.81</v>
      </c>
      <c r="V25" s="28">
        <f t="shared" si="4"/>
        <v>85.76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178040</v>
      </c>
      <c r="C26" s="28">
        <v>32.299999999999997</v>
      </c>
      <c r="D26" s="28">
        <v>20886.850000000002</v>
      </c>
      <c r="E26" s="28">
        <v>159.54</v>
      </c>
      <c r="F26" s="28">
        <v>0.04</v>
      </c>
      <c r="G26" s="28">
        <f t="shared" si="0"/>
        <v>159.57999999999998</v>
      </c>
      <c r="H26" s="28">
        <v>0</v>
      </c>
      <c r="I26" s="28">
        <v>0</v>
      </c>
      <c r="J26" s="112">
        <v>164</v>
      </c>
      <c r="K26" s="28">
        <f t="shared" si="1"/>
        <v>-2.6951219512195217</v>
      </c>
      <c r="L26" s="28"/>
      <c r="M26" s="28"/>
      <c r="N26" s="28">
        <f t="shared" si="2"/>
        <v>9758.925654843968</v>
      </c>
      <c r="O26" s="28" t="str">
        <f t="shared" si="3"/>
        <v/>
      </c>
      <c r="P26" s="28">
        <v>9.8000000000000007</v>
      </c>
      <c r="Q26" s="28">
        <v>12.8</v>
      </c>
      <c r="R26" s="28">
        <v>17.79</v>
      </c>
      <c r="S26" s="28">
        <v>16.809999999999999</v>
      </c>
      <c r="T26" s="28">
        <v>18.8</v>
      </c>
      <c r="U26" s="28">
        <v>9.9700000000000006</v>
      </c>
      <c r="V26" s="28">
        <f t="shared" si="4"/>
        <v>85.97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178480</v>
      </c>
      <c r="C27" s="28">
        <v>0</v>
      </c>
      <c r="D27" s="28">
        <v>21164.75</v>
      </c>
      <c r="E27" s="28">
        <v>160.05000000000001</v>
      </c>
      <c r="F27" s="28">
        <v>0</v>
      </c>
      <c r="G27" s="28">
        <f t="shared" si="0"/>
        <v>160.05000000000001</v>
      </c>
      <c r="H27" s="28">
        <v>0</v>
      </c>
      <c r="I27" s="28">
        <v>0</v>
      </c>
      <c r="J27" s="112">
        <v>164</v>
      </c>
      <c r="K27" s="28">
        <f t="shared" si="1"/>
        <v>-2.4085365853658467</v>
      </c>
      <c r="L27" s="28"/>
      <c r="M27" s="28"/>
      <c r="N27" s="28">
        <f t="shared" si="2"/>
        <v>9741.5859793814434</v>
      </c>
      <c r="O27" s="28" t="str">
        <f t="shared" si="3"/>
        <v/>
      </c>
      <c r="P27" s="28">
        <v>9.83</v>
      </c>
      <c r="Q27" s="28">
        <v>12.79</v>
      </c>
      <c r="R27" s="28">
        <v>17.79</v>
      </c>
      <c r="S27" s="28">
        <v>16.8</v>
      </c>
      <c r="T27" s="28">
        <v>18.8</v>
      </c>
      <c r="U27" s="28">
        <v>10.06</v>
      </c>
      <c r="V27" s="28">
        <f t="shared" si="4"/>
        <v>86.07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178230</v>
      </c>
      <c r="C28" s="28">
        <v>0</v>
      </c>
      <c r="D28" s="28">
        <v>22112.57</v>
      </c>
      <c r="E28" s="28">
        <v>159.57</v>
      </c>
      <c r="F28" s="28">
        <v>0</v>
      </c>
      <c r="G28" s="28">
        <f t="shared" si="0"/>
        <v>159.57</v>
      </c>
      <c r="H28" s="28">
        <v>0</v>
      </c>
      <c r="I28" s="28">
        <v>0</v>
      </c>
      <c r="J28" s="112">
        <v>164</v>
      </c>
      <c r="K28" s="28">
        <f t="shared" si="1"/>
        <v>-2.7012195121951259</v>
      </c>
      <c r="L28" s="28"/>
      <c r="M28" s="28"/>
      <c r="N28" s="28">
        <f t="shared" si="2"/>
        <v>9724.345227799713</v>
      </c>
      <c r="O28" s="28" t="str">
        <f t="shared" si="3"/>
        <v/>
      </c>
      <c r="P28" s="28">
        <v>9.7200000000000006</v>
      </c>
      <c r="Q28" s="28">
        <v>12.7</v>
      </c>
      <c r="R28" s="28">
        <v>17.690000000000001</v>
      </c>
      <c r="S28" s="28">
        <v>16.71</v>
      </c>
      <c r="T28" s="28">
        <v>18.7</v>
      </c>
      <c r="U28" s="28">
        <v>10.14</v>
      </c>
      <c r="V28" s="28">
        <f t="shared" si="4"/>
        <v>85.66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177950</v>
      </c>
      <c r="C29" s="28">
        <v>576.91</v>
      </c>
      <c r="D29" s="28">
        <v>21869.62</v>
      </c>
      <c r="E29" s="28">
        <v>156.96</v>
      </c>
      <c r="F29" s="28">
        <v>2.2000000000000002</v>
      </c>
      <c r="G29" s="28">
        <f t="shared" si="0"/>
        <v>159.16</v>
      </c>
      <c r="H29" s="28">
        <v>0</v>
      </c>
      <c r="I29" s="28">
        <v>0</v>
      </c>
      <c r="J29" s="112">
        <v>164</v>
      </c>
      <c r="K29" s="28">
        <f t="shared" si="1"/>
        <v>-2.9512195121951241</v>
      </c>
      <c r="L29" s="28"/>
      <c r="M29" s="28"/>
      <c r="N29" s="28">
        <f t="shared" si="2"/>
        <v>9738.0138728323709</v>
      </c>
      <c r="O29" s="28" t="str">
        <f t="shared" si="3"/>
        <v/>
      </c>
      <c r="P29" s="28">
        <v>9.76</v>
      </c>
      <c r="Q29" s="28">
        <v>12.63</v>
      </c>
      <c r="R29" s="28">
        <v>17.63</v>
      </c>
      <c r="S29" s="28">
        <v>16.62</v>
      </c>
      <c r="T29" s="28">
        <v>18.62</v>
      </c>
      <c r="U29" s="28">
        <v>10.3</v>
      </c>
      <c r="V29" s="28">
        <f t="shared" si="4"/>
        <v>85.56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177270</v>
      </c>
      <c r="C30" s="28">
        <v>0</v>
      </c>
      <c r="D30" s="28">
        <v>21395.279999999999</v>
      </c>
      <c r="E30" s="28">
        <v>79.42</v>
      </c>
      <c r="F30" s="28">
        <v>80.13</v>
      </c>
      <c r="G30" s="28">
        <f t="shared" si="0"/>
        <v>159.55000000000001</v>
      </c>
      <c r="H30" s="28">
        <v>0</v>
      </c>
      <c r="I30" s="28">
        <v>0</v>
      </c>
      <c r="J30" s="112">
        <v>164</v>
      </c>
      <c r="K30" s="28">
        <f t="shared" si="1"/>
        <v>-2.7134146341463343</v>
      </c>
      <c r="L30" s="28"/>
      <c r="M30" s="28"/>
      <c r="N30" s="28">
        <f t="shared" si="2"/>
        <v>9683.5555750548428</v>
      </c>
      <c r="O30" s="28" t="str">
        <f t="shared" si="3"/>
        <v/>
      </c>
      <c r="P30" s="28">
        <v>9.68</v>
      </c>
      <c r="Q30" s="28">
        <v>12.56</v>
      </c>
      <c r="R30" s="28">
        <v>17.559999999999999</v>
      </c>
      <c r="S30" s="28">
        <v>16.559999999999999</v>
      </c>
      <c r="T30" s="28">
        <v>18.559999999999999</v>
      </c>
      <c r="U30" s="28">
        <v>10.37</v>
      </c>
      <c r="V30" s="28">
        <f t="shared" si="4"/>
        <v>85.29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177170</v>
      </c>
      <c r="C31" s="28">
        <v>0</v>
      </c>
      <c r="D31" s="28">
        <v>20821.260000000002</v>
      </c>
      <c r="E31" s="28">
        <v>79.3</v>
      </c>
      <c r="F31" s="28">
        <v>79.98</v>
      </c>
      <c r="G31" s="28">
        <f t="shared" si="0"/>
        <v>159.28</v>
      </c>
      <c r="H31" s="28">
        <v>0</v>
      </c>
      <c r="I31" s="28">
        <v>0</v>
      </c>
      <c r="J31" s="112">
        <v>164</v>
      </c>
      <c r="K31" s="28">
        <f t="shared" si="1"/>
        <v>-2.8780487804878043</v>
      </c>
      <c r="L31" s="28"/>
      <c r="M31" s="28"/>
      <c r="N31" s="28">
        <f t="shared" si="2"/>
        <v>9684.0483425414368</v>
      </c>
      <c r="O31" s="28" t="str">
        <f t="shared" si="3"/>
        <v/>
      </c>
      <c r="P31" s="28">
        <v>9.8000000000000007</v>
      </c>
      <c r="Q31" s="28">
        <v>12.51</v>
      </c>
      <c r="R31" s="28">
        <v>17.5</v>
      </c>
      <c r="S31" s="28">
        <v>16.510000000000002</v>
      </c>
      <c r="T31" s="28">
        <v>18.5</v>
      </c>
      <c r="U31" s="28">
        <v>10.33</v>
      </c>
      <c r="V31" s="28">
        <f t="shared" si="4"/>
        <v>85.15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176980</v>
      </c>
      <c r="C32" s="28">
        <v>0</v>
      </c>
      <c r="D32" s="28">
        <v>17562.36</v>
      </c>
      <c r="E32" s="28">
        <v>79.13</v>
      </c>
      <c r="F32" s="28">
        <v>79.81</v>
      </c>
      <c r="G32" s="28">
        <f t="shared" si="0"/>
        <v>158.94</v>
      </c>
      <c r="H32" s="28">
        <v>0</v>
      </c>
      <c r="I32" s="28">
        <v>0</v>
      </c>
      <c r="J32" s="112">
        <v>164</v>
      </c>
      <c r="K32" s="28">
        <f t="shared" si="1"/>
        <v>-3.085365853658538</v>
      </c>
      <c r="L32" s="28"/>
      <c r="M32" s="28"/>
      <c r="N32" s="28">
        <f t="shared" si="2"/>
        <v>9683.1093997735024</v>
      </c>
      <c r="O32" s="28" t="str">
        <f t="shared" si="3"/>
        <v/>
      </c>
      <c r="P32" s="28">
        <v>9.8699999999999992</v>
      </c>
      <c r="Q32" s="28">
        <v>12.47</v>
      </c>
      <c r="R32" s="28">
        <v>17.47</v>
      </c>
      <c r="S32" s="28">
        <v>16.47</v>
      </c>
      <c r="T32" s="28">
        <v>18.47</v>
      </c>
      <c r="U32" s="28">
        <v>10.210000000000001</v>
      </c>
      <c r="V32" s="28">
        <f t="shared" si="4"/>
        <v>84.960000000000008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175770</v>
      </c>
      <c r="C33" s="28">
        <v>0</v>
      </c>
      <c r="D33" s="28">
        <v>16769.59</v>
      </c>
      <c r="E33" s="28">
        <v>78.430000000000007</v>
      </c>
      <c r="F33" s="28">
        <v>79.11</v>
      </c>
      <c r="G33" s="28">
        <f t="shared" si="0"/>
        <v>157.54000000000002</v>
      </c>
      <c r="H33" s="28">
        <v>0</v>
      </c>
      <c r="I33" s="28">
        <v>0</v>
      </c>
      <c r="J33" s="112">
        <v>164</v>
      </c>
      <c r="K33" s="28">
        <f t="shared" si="1"/>
        <v>-3.93902439024389</v>
      </c>
      <c r="L33" s="28"/>
      <c r="M33" s="28"/>
      <c r="N33" s="28">
        <f t="shared" si="2"/>
        <v>9743.8628411831905</v>
      </c>
      <c r="O33" s="28" t="str">
        <f t="shared" si="3"/>
        <v/>
      </c>
      <c r="P33" s="28">
        <v>9.86</v>
      </c>
      <c r="Q33" s="28">
        <v>12.42</v>
      </c>
      <c r="R33" s="28">
        <v>17.399999999999999</v>
      </c>
      <c r="S33" s="28">
        <v>16.399999999999999</v>
      </c>
      <c r="T33" s="28">
        <v>18.399999999999999</v>
      </c>
      <c r="U33" s="28">
        <v>10.26</v>
      </c>
      <c r="V33" s="28">
        <f t="shared" si="4"/>
        <v>84.74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176080</v>
      </c>
      <c r="C34" s="28">
        <v>0</v>
      </c>
      <c r="D34" s="28">
        <v>17719.41</v>
      </c>
      <c r="E34" s="28">
        <v>78.62</v>
      </c>
      <c r="F34" s="28">
        <v>79.3</v>
      </c>
      <c r="G34" s="28">
        <f t="shared" si="0"/>
        <v>157.92000000000002</v>
      </c>
      <c r="H34" s="28">
        <v>0</v>
      </c>
      <c r="I34" s="28">
        <v>0</v>
      </c>
      <c r="J34" s="112">
        <v>164</v>
      </c>
      <c r="K34" s="28">
        <f t="shared" si="1"/>
        <v>-3.7073170731707221</v>
      </c>
      <c r="L34" s="28"/>
      <c r="M34" s="28"/>
      <c r="N34" s="28">
        <f t="shared" si="2"/>
        <v>9731.8872340425551</v>
      </c>
      <c r="O34" s="28" t="str">
        <f t="shared" si="3"/>
        <v/>
      </c>
      <c r="P34" s="28">
        <v>9.8000000000000007</v>
      </c>
      <c r="Q34" s="28">
        <v>12.48</v>
      </c>
      <c r="R34" s="28">
        <v>17.48</v>
      </c>
      <c r="S34" s="28">
        <v>16.48</v>
      </c>
      <c r="T34" s="28">
        <v>18.48</v>
      </c>
      <c r="U34" s="28">
        <v>10.119999999999999</v>
      </c>
      <c r="V34" s="28">
        <f t="shared" si="4"/>
        <v>84.840000000000018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176390</v>
      </c>
      <c r="C35" s="28">
        <v>0</v>
      </c>
      <c r="D35" s="28">
        <v>20244.400000000001</v>
      </c>
      <c r="E35" s="28">
        <v>78.900000000000006</v>
      </c>
      <c r="F35" s="28">
        <v>79.569999999999993</v>
      </c>
      <c r="G35" s="28">
        <f t="shared" si="0"/>
        <v>158.47</v>
      </c>
      <c r="H35" s="28">
        <v>0</v>
      </c>
      <c r="I35" s="28">
        <v>0</v>
      </c>
      <c r="J35" s="112">
        <v>164</v>
      </c>
      <c r="K35" s="116">
        <f t="shared" si="1"/>
        <v>-3.3719512195121957</v>
      </c>
      <c r="L35" s="28"/>
      <c r="M35" s="28"/>
      <c r="N35" s="28">
        <f t="shared" si="2"/>
        <v>9696.9677793904229</v>
      </c>
      <c r="O35" s="28" t="str">
        <f t="shared" si="3"/>
        <v/>
      </c>
      <c r="P35" s="28">
        <v>9.73</v>
      </c>
      <c r="Q35" s="28">
        <v>12.5</v>
      </c>
      <c r="R35" s="28">
        <v>17.5</v>
      </c>
      <c r="S35" s="28">
        <v>16.5</v>
      </c>
      <c r="T35" s="28">
        <v>18.5</v>
      </c>
      <c r="U35" s="28">
        <v>10.1</v>
      </c>
      <c r="V35" s="28">
        <f t="shared" si="4"/>
        <v>84.83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4228560</v>
      </c>
      <c r="C36" s="35">
        <f t="shared" ref="C36:J36" si="5">SUM(C12:C35)</f>
        <v>656.18</v>
      </c>
      <c r="D36" s="35">
        <f t="shared" si="5"/>
        <v>438341.13</v>
      </c>
      <c r="E36" s="35">
        <f t="shared" si="5"/>
        <v>2571.3000000000002</v>
      </c>
      <c r="F36" s="35">
        <f t="shared" si="5"/>
        <v>1221.3699999999999</v>
      </c>
      <c r="G36" s="35">
        <f t="shared" si="5"/>
        <v>3792.67</v>
      </c>
      <c r="H36" s="35">
        <f t="shared" si="5"/>
        <v>0</v>
      </c>
      <c r="I36" s="35">
        <f t="shared" si="5"/>
        <v>0</v>
      </c>
      <c r="J36" s="35">
        <f t="shared" si="5"/>
        <v>3936</v>
      </c>
      <c r="K36" s="36"/>
      <c r="L36" s="37"/>
      <c r="M36" s="38"/>
      <c r="N36" s="35">
        <f>IFERROR(AVERAGE(N12:N35),"")</f>
        <v>9720.5589552237125</v>
      </c>
      <c r="O36" s="39">
        <f t="shared" ref="O36:U36" si="6">SUM(O12:O35)</f>
        <v>0</v>
      </c>
      <c r="P36" s="39">
        <f t="shared" si="6"/>
        <v>229.64000000000001</v>
      </c>
      <c r="Q36" s="39">
        <f t="shared" si="6"/>
        <v>305.06000000000006</v>
      </c>
      <c r="R36" s="39">
        <f t="shared" si="6"/>
        <v>425.0200000000001</v>
      </c>
      <c r="S36" s="39">
        <f t="shared" si="6"/>
        <v>401.88</v>
      </c>
      <c r="T36" s="39">
        <f t="shared" si="6"/>
        <v>436.79000000000008</v>
      </c>
      <c r="U36" s="39">
        <f t="shared" si="6"/>
        <v>236.79</v>
      </c>
      <c r="V36" s="39">
        <f>SUM(V12:V35)</f>
        <v>2035.18</v>
      </c>
      <c r="W36" s="40">
        <f>SUM(W12:W35)</f>
        <v>0</v>
      </c>
      <c r="X36" s="40">
        <f>SUM(X12:X35)</f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0</v>
      </c>
      <c r="J41" s="41"/>
      <c r="K41" s="13" t="s">
        <v>59</v>
      </c>
      <c r="L41" s="113">
        <v>425902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1</v>
      </c>
      <c r="B42" s="57">
        <v>0</v>
      </c>
      <c r="C42" s="57">
        <v>0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179710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>
        <f>IFERROR(3412.14/N36,"")</f>
        <v>0.35102302405833941</v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14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Amarildo Reales Silvera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2144.2199999999998</v>
      </c>
      <c r="D58" s="81">
        <v>0</v>
      </c>
      <c r="E58" s="82">
        <v>0</v>
      </c>
      <c r="F58" s="83">
        <v>5765.7</v>
      </c>
      <c r="G58" s="82">
        <v>0</v>
      </c>
      <c r="H58" s="84">
        <f t="shared" ref="H58:H81" si="7">IF(G58=0,0,100*(E58-G58)/G58)</f>
        <v>0</v>
      </c>
      <c r="I58" s="85"/>
      <c r="J58" s="85"/>
      <c r="K58" s="86" t="str">
        <f t="shared" ref="K58:K81" si="8">IFERROR(U58*1000*2.2*$K$92/E58/1000,"")</f>
        <v/>
      </c>
      <c r="L58" s="87"/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2157.2800000000002</v>
      </c>
      <c r="D59" s="81">
        <v>0</v>
      </c>
      <c r="E59" s="82">
        <v>0</v>
      </c>
      <c r="F59" s="82">
        <v>5694.78</v>
      </c>
      <c r="G59" s="82">
        <v>0</v>
      </c>
      <c r="H59" s="91">
        <f t="shared" si="7"/>
        <v>0</v>
      </c>
      <c r="I59" s="85"/>
      <c r="J59" s="85"/>
      <c r="K59" s="86" t="str">
        <f t="shared" si="8"/>
        <v/>
      </c>
      <c r="L59" s="87" t="str">
        <f t="shared" ref="L59:L81" si="9">IF(OR(H59&gt;5,H59&lt;-5),E59-G59,"")</f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10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2315.0100000000002</v>
      </c>
      <c r="D60" s="81">
        <v>0</v>
      </c>
      <c r="E60" s="82">
        <v>0</v>
      </c>
      <c r="F60" s="82">
        <v>4906.28</v>
      </c>
      <c r="G60" s="82">
        <v>0</v>
      </c>
      <c r="H60" s="91">
        <f t="shared" si="7"/>
        <v>0</v>
      </c>
      <c r="I60" s="85"/>
      <c r="J60" s="85"/>
      <c r="K60" s="86" t="str">
        <f t="shared" si="8"/>
        <v/>
      </c>
      <c r="L60" s="87" t="str">
        <f t="shared" si="9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10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2290.86</v>
      </c>
      <c r="D61" s="81">
        <v>0</v>
      </c>
      <c r="E61" s="82">
        <v>0</v>
      </c>
      <c r="F61" s="82">
        <v>4958.32</v>
      </c>
      <c r="G61" s="82">
        <v>0</v>
      </c>
      <c r="H61" s="91">
        <f t="shared" si="7"/>
        <v>0</v>
      </c>
      <c r="I61" s="85"/>
      <c r="J61" s="85"/>
      <c r="K61" s="86" t="str">
        <f t="shared" si="8"/>
        <v/>
      </c>
      <c r="L61" s="87" t="str">
        <f t="shared" si="9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10"/>
        <v>0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2283.4499999999998</v>
      </c>
      <c r="D62" s="81">
        <v>0</v>
      </c>
      <c r="E62" s="82">
        <v>0</v>
      </c>
      <c r="F62" s="82">
        <v>4976.33</v>
      </c>
      <c r="G62" s="82">
        <v>0</v>
      </c>
      <c r="H62" s="91">
        <f t="shared" si="7"/>
        <v>0</v>
      </c>
      <c r="I62" s="85"/>
      <c r="J62" s="85"/>
      <c r="K62" s="86" t="str">
        <f t="shared" si="8"/>
        <v/>
      </c>
      <c r="L62" s="87" t="str">
        <f t="shared" si="9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10"/>
        <v>0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2235.9299999999998</v>
      </c>
      <c r="D63" s="81">
        <v>0</v>
      </c>
      <c r="E63" s="82">
        <v>0</v>
      </c>
      <c r="F63" s="82">
        <v>5113.8</v>
      </c>
      <c r="G63" s="82">
        <v>0</v>
      </c>
      <c r="H63" s="91">
        <f t="shared" si="7"/>
        <v>0</v>
      </c>
      <c r="I63" s="85"/>
      <c r="J63" s="85"/>
      <c r="K63" s="86" t="str">
        <f t="shared" si="8"/>
        <v/>
      </c>
      <c r="L63" s="87" t="str">
        <f t="shared" si="9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10"/>
        <v>0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2221.63</v>
      </c>
      <c r="D64" s="81">
        <v>0</v>
      </c>
      <c r="E64" s="82">
        <v>0</v>
      </c>
      <c r="F64" s="82">
        <v>5084.3599999999997</v>
      </c>
      <c r="G64" s="82">
        <v>0</v>
      </c>
      <c r="H64" s="91">
        <f t="shared" si="7"/>
        <v>0</v>
      </c>
      <c r="I64" s="85"/>
      <c r="J64" s="85"/>
      <c r="K64" s="86" t="str">
        <f t="shared" si="8"/>
        <v/>
      </c>
      <c r="L64" s="87" t="str">
        <f t="shared" si="9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10"/>
        <v>0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2048.09</v>
      </c>
      <c r="D65" s="81">
        <v>0.27</v>
      </c>
      <c r="E65" s="82">
        <v>0</v>
      </c>
      <c r="F65" s="82">
        <v>5330.01</v>
      </c>
      <c r="G65" s="82">
        <v>0</v>
      </c>
      <c r="H65" s="91">
        <f t="shared" si="7"/>
        <v>0</v>
      </c>
      <c r="I65" s="85"/>
      <c r="J65" s="85"/>
      <c r="K65" s="86" t="str">
        <f t="shared" si="8"/>
        <v/>
      </c>
      <c r="L65" s="87" t="str">
        <f t="shared" si="9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10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1976.6</v>
      </c>
      <c r="D66" s="81">
        <v>0</v>
      </c>
      <c r="E66" s="82">
        <v>0</v>
      </c>
      <c r="F66" s="82">
        <v>5479.81</v>
      </c>
      <c r="G66" s="82">
        <v>0</v>
      </c>
      <c r="H66" s="91">
        <f t="shared" si="7"/>
        <v>0</v>
      </c>
      <c r="I66" s="85"/>
      <c r="J66" s="85"/>
      <c r="K66" s="86" t="str">
        <f t="shared" si="8"/>
        <v/>
      </c>
      <c r="L66" s="87" t="str">
        <f t="shared" si="9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10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2048.38</v>
      </c>
      <c r="D67" s="81">
        <v>0</v>
      </c>
      <c r="E67" s="82">
        <v>0</v>
      </c>
      <c r="F67" s="82">
        <v>5279.35</v>
      </c>
      <c r="G67" s="82">
        <v>0</v>
      </c>
      <c r="H67" s="91">
        <f t="shared" si="7"/>
        <v>0</v>
      </c>
      <c r="I67" s="85"/>
      <c r="J67" s="85"/>
      <c r="K67" s="86" t="str">
        <f t="shared" si="8"/>
        <v/>
      </c>
      <c r="L67" s="87" t="str">
        <f t="shared" si="9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10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2048.1</v>
      </c>
      <c r="D68" s="81">
        <v>0</v>
      </c>
      <c r="E68" s="82">
        <v>0</v>
      </c>
      <c r="F68" s="82">
        <v>5287.34</v>
      </c>
      <c r="G68" s="82">
        <v>0</v>
      </c>
      <c r="H68" s="91">
        <f t="shared" si="7"/>
        <v>0</v>
      </c>
      <c r="I68" s="85"/>
      <c r="K68" s="86" t="str">
        <f t="shared" si="8"/>
        <v/>
      </c>
      <c r="L68" s="87" t="str">
        <f t="shared" si="9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10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2055.88</v>
      </c>
      <c r="D69" s="81">
        <v>0</v>
      </c>
      <c r="E69" s="82">
        <v>0</v>
      </c>
      <c r="F69" s="82">
        <v>5261.47</v>
      </c>
      <c r="G69" s="82">
        <v>0</v>
      </c>
      <c r="H69" s="91">
        <f t="shared" si="7"/>
        <v>0</v>
      </c>
      <c r="I69" s="85"/>
      <c r="J69" s="85"/>
      <c r="K69" s="86" t="str">
        <f t="shared" si="8"/>
        <v/>
      </c>
      <c r="L69" s="87" t="str">
        <f t="shared" si="9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10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2071.34</v>
      </c>
      <c r="D70" s="81">
        <v>0</v>
      </c>
      <c r="E70" s="82">
        <v>0</v>
      </c>
      <c r="F70" s="82">
        <v>5189.67</v>
      </c>
      <c r="G70" s="82">
        <v>0</v>
      </c>
      <c r="H70" s="91">
        <f t="shared" si="7"/>
        <v>0</v>
      </c>
      <c r="I70" s="85"/>
      <c r="J70" s="85"/>
      <c r="K70" s="86" t="str">
        <f t="shared" si="8"/>
        <v/>
      </c>
      <c r="L70" s="87" t="str">
        <f t="shared" si="9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10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2062.7199999999998</v>
      </c>
      <c r="D71" s="81">
        <v>0</v>
      </c>
      <c r="E71" s="82">
        <v>0</v>
      </c>
      <c r="F71" s="82">
        <v>5208.62</v>
      </c>
      <c r="G71" s="82">
        <v>0</v>
      </c>
      <c r="H71" s="91">
        <f t="shared" si="7"/>
        <v>0</v>
      </c>
      <c r="I71" s="85"/>
      <c r="J71" s="85"/>
      <c r="K71" s="86" t="str">
        <f t="shared" si="8"/>
        <v/>
      </c>
      <c r="L71" s="87" t="str">
        <f t="shared" si="9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10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2073.23</v>
      </c>
      <c r="D72" s="81">
        <v>0</v>
      </c>
      <c r="E72" s="82">
        <v>0</v>
      </c>
      <c r="F72" s="82">
        <v>5189.34</v>
      </c>
      <c r="G72" s="82">
        <v>0</v>
      </c>
      <c r="H72" s="91">
        <f t="shared" si="7"/>
        <v>0</v>
      </c>
      <c r="I72" s="85"/>
      <c r="J72" s="85"/>
      <c r="K72" s="86" t="str">
        <f t="shared" si="8"/>
        <v/>
      </c>
      <c r="L72" s="87" t="str">
        <f t="shared" si="9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10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2004.88</v>
      </c>
      <c r="D73" s="81">
        <v>0.33</v>
      </c>
      <c r="E73" s="82">
        <v>0</v>
      </c>
      <c r="F73" s="82">
        <v>5432.22</v>
      </c>
      <c r="G73" s="82">
        <v>0</v>
      </c>
      <c r="H73" s="91">
        <f t="shared" si="7"/>
        <v>0</v>
      </c>
      <c r="I73" s="85"/>
      <c r="J73" s="85"/>
      <c r="K73" s="86" t="str">
        <f t="shared" si="8"/>
        <v/>
      </c>
      <c r="L73" s="87" t="str">
        <f t="shared" si="9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10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1826</v>
      </c>
      <c r="D74" s="81">
        <v>0.27</v>
      </c>
      <c r="E74" s="82">
        <v>0</v>
      </c>
      <c r="F74" s="82">
        <v>5481.77</v>
      </c>
      <c r="G74" s="82">
        <v>0</v>
      </c>
      <c r="H74" s="91">
        <f t="shared" si="7"/>
        <v>0</v>
      </c>
      <c r="I74" s="85"/>
      <c r="J74" s="85"/>
      <c r="K74" s="86" t="str">
        <f t="shared" si="8"/>
        <v/>
      </c>
      <c r="L74" s="87" t="str">
        <f t="shared" si="9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10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1922.03</v>
      </c>
      <c r="D75" s="81">
        <v>0</v>
      </c>
      <c r="E75" s="82">
        <v>0</v>
      </c>
      <c r="F75" s="82">
        <v>5575.32</v>
      </c>
      <c r="G75" s="82">
        <v>0</v>
      </c>
      <c r="H75" s="91">
        <f t="shared" si="7"/>
        <v>0</v>
      </c>
      <c r="I75" s="85"/>
      <c r="J75" s="85"/>
      <c r="K75" s="86" t="str">
        <f t="shared" si="8"/>
        <v/>
      </c>
      <c r="L75" s="87" t="str">
        <f t="shared" si="9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10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2007.75</v>
      </c>
      <c r="D76" s="81">
        <v>0</v>
      </c>
      <c r="E76" s="82">
        <v>0</v>
      </c>
      <c r="F76" s="82">
        <v>5374.14</v>
      </c>
      <c r="G76" s="82">
        <v>0</v>
      </c>
      <c r="H76" s="91">
        <f t="shared" si="7"/>
        <v>0</v>
      </c>
      <c r="I76" s="85"/>
      <c r="J76" s="85"/>
      <c r="K76" s="86" t="str">
        <f t="shared" si="8"/>
        <v/>
      </c>
      <c r="L76" s="87" t="str">
        <f t="shared" si="9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10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1998.89</v>
      </c>
      <c r="D77" s="81">
        <v>0</v>
      </c>
      <c r="E77" s="82">
        <v>0</v>
      </c>
      <c r="F77" s="82">
        <v>5419.08</v>
      </c>
      <c r="G77" s="82">
        <v>0</v>
      </c>
      <c r="H77" s="91">
        <f t="shared" si="7"/>
        <v>0</v>
      </c>
      <c r="I77" s="85"/>
      <c r="J77" s="85"/>
      <c r="K77" s="86" t="str">
        <f t="shared" si="8"/>
        <v/>
      </c>
      <c r="L77" s="87" t="str">
        <f t="shared" si="9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10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1426.28</v>
      </c>
      <c r="D78" s="81">
        <v>61.03</v>
      </c>
      <c r="E78" s="82">
        <v>0</v>
      </c>
      <c r="F78" s="82">
        <v>7305.47</v>
      </c>
      <c r="G78" s="82">
        <v>0</v>
      </c>
      <c r="H78" s="91">
        <f t="shared" si="7"/>
        <v>0</v>
      </c>
      <c r="I78" s="85"/>
      <c r="J78" s="85"/>
      <c r="K78" s="86" t="str">
        <f t="shared" si="8"/>
        <v/>
      </c>
      <c r="L78" s="87" t="str">
        <f t="shared" si="9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0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1405.73</v>
      </c>
      <c r="D79" s="81">
        <v>0</v>
      </c>
      <c r="E79" s="82">
        <v>0</v>
      </c>
      <c r="F79" s="82">
        <v>7835.76</v>
      </c>
      <c r="G79" s="82">
        <v>0</v>
      </c>
      <c r="H79" s="91">
        <f t="shared" si="7"/>
        <v>0</v>
      </c>
      <c r="I79" s="85"/>
      <c r="J79" s="85"/>
      <c r="K79" s="86" t="str">
        <f t="shared" si="8"/>
        <v/>
      </c>
      <c r="L79" s="87" t="str">
        <f t="shared" si="9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0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1494.31</v>
      </c>
      <c r="D80" s="81">
        <v>0</v>
      </c>
      <c r="E80" s="82">
        <v>0</v>
      </c>
      <c r="F80" s="82">
        <v>7229.75</v>
      </c>
      <c r="G80" s="82">
        <v>0</v>
      </c>
      <c r="H80" s="91">
        <f t="shared" si="7"/>
        <v>0</v>
      </c>
      <c r="I80" s="85"/>
      <c r="J80" s="85"/>
      <c r="K80" s="86" t="str">
        <f t="shared" si="8"/>
        <v/>
      </c>
      <c r="L80" s="87" t="str">
        <f t="shared" si="9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0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1505.58</v>
      </c>
      <c r="D81" s="28">
        <v>0</v>
      </c>
      <c r="E81" s="96">
        <v>0</v>
      </c>
      <c r="F81" s="97">
        <v>7077.3</v>
      </c>
      <c r="G81" s="82">
        <v>0</v>
      </c>
      <c r="H81" s="98">
        <f t="shared" si="7"/>
        <v>0</v>
      </c>
      <c r="I81" s="115"/>
      <c r="J81" s="85"/>
      <c r="K81" s="99" t="str">
        <f t="shared" si="8"/>
        <v/>
      </c>
      <c r="L81" s="87" t="str">
        <f t="shared" si="9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0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1">SUM(B58:B81)</f>
        <v>0</v>
      </c>
      <c r="C82" s="35">
        <f t="shared" si="11"/>
        <v>47624.17</v>
      </c>
      <c r="D82" s="35">
        <f t="shared" si="11"/>
        <v>61.9</v>
      </c>
      <c r="E82" s="35">
        <f t="shared" si="11"/>
        <v>0</v>
      </c>
      <c r="F82" s="101">
        <f t="shared" si="11"/>
        <v>135455.99</v>
      </c>
      <c r="G82" s="35">
        <f t="shared" si="11"/>
        <v>0</v>
      </c>
      <c r="H82" s="102"/>
      <c r="I82" s="103"/>
      <c r="J82" s="104"/>
      <c r="K82" s="105" t="str">
        <f>IFERROR(AVERAGE(K58:K81),"")</f>
        <v/>
      </c>
      <c r="L82" s="40">
        <f t="shared" ref="L82:U82" si="12">SUM(L58:L81)</f>
        <v>0</v>
      </c>
      <c r="M82" s="40">
        <f t="shared" si="12"/>
        <v>0</v>
      </c>
      <c r="N82" s="39">
        <f t="shared" si="12"/>
        <v>0</v>
      </c>
      <c r="O82" s="39">
        <f t="shared" si="12"/>
        <v>0</v>
      </c>
      <c r="P82" s="39">
        <f t="shared" si="12"/>
        <v>0</v>
      </c>
      <c r="Q82" s="39">
        <f t="shared" si="12"/>
        <v>0</v>
      </c>
      <c r="R82" s="39">
        <f t="shared" si="12"/>
        <v>0</v>
      </c>
      <c r="S82" s="39">
        <f t="shared" si="12"/>
        <v>0</v>
      </c>
      <c r="T82" s="39">
        <f t="shared" si="12"/>
        <v>0</v>
      </c>
      <c r="U82" s="39">
        <f t="shared" si="12"/>
        <v>0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135455.99</v>
      </c>
      <c r="J87" s="41"/>
      <c r="K87" s="62" t="s">
        <v>59</v>
      </c>
      <c r="L87" s="113">
        <v>7349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</v>
      </c>
      <c r="B88" s="57">
        <v>0</v>
      </c>
      <c r="C88" s="57">
        <v>1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3140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 t="str">
        <f>IFERROR(3412.14/K82,"")</f>
        <v/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A1:C1"/>
    <mergeCell ref="D1:U2"/>
    <mergeCell ref="V1:X4"/>
    <mergeCell ref="A2:C2"/>
    <mergeCell ref="A3:C3"/>
    <mergeCell ref="D3:U4"/>
    <mergeCell ref="A4:C4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39:A40"/>
    <mergeCell ref="B39:B40"/>
    <mergeCell ref="C39:C40"/>
    <mergeCell ref="D39:D40"/>
    <mergeCell ref="H39:I40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H41:H42"/>
    <mergeCell ref="I41:I42"/>
    <mergeCell ref="K44:L44"/>
    <mergeCell ref="C45:I46"/>
    <mergeCell ref="K45:L45"/>
    <mergeCell ref="K46:L4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A85:A86"/>
    <mergeCell ref="B85:B86"/>
    <mergeCell ref="C85:C86"/>
    <mergeCell ref="D85:D86"/>
    <mergeCell ref="H85:I86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K90:L90"/>
    <mergeCell ref="B91:B92"/>
    <mergeCell ref="C91:I92"/>
    <mergeCell ref="K91:L91"/>
    <mergeCell ref="K92:L9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EA25-3B2D-41F4-A577-153EE24C0C8F}">
  <dimension ref="A1:Z109"/>
  <sheetViews>
    <sheetView zoomScale="85" zoomScaleNormal="85" workbookViewId="0">
      <selection activeCell="M27" sqref="M27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15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86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176390</v>
      </c>
      <c r="C12" s="28">
        <v>0</v>
      </c>
      <c r="D12" s="28">
        <v>19736.66</v>
      </c>
      <c r="E12" s="28">
        <v>79.06</v>
      </c>
      <c r="F12" s="28">
        <v>79.739999999999995</v>
      </c>
      <c r="G12" s="28">
        <f t="shared" ref="G12:G35" si="0">+E12+F12</f>
        <v>158.80000000000001</v>
      </c>
      <c r="H12" s="28">
        <v>0</v>
      </c>
      <c r="I12" s="28">
        <v>0</v>
      </c>
      <c r="J12" s="112">
        <v>164</v>
      </c>
      <c r="K12" s="28">
        <f t="shared" ref="K12:K35" si="1">IF(J12=0,0,100*(G12-J12)/J12)</f>
        <v>-3.1707317073170662</v>
      </c>
      <c r="L12" s="28"/>
      <c r="M12" s="28"/>
      <c r="N12" s="28">
        <f t="shared" ref="N12:N35" si="2">IFERROR(V12*1000*2.2*$K$46/G12/1000,"")</f>
        <v>9676.8166498740557</v>
      </c>
      <c r="O12" s="28" t="str">
        <f t="shared" ref="O12:O35" si="3">IF(OR(K12&gt;5,K12&lt;-5),G12-J12,"")</f>
        <v/>
      </c>
      <c r="P12" s="28">
        <v>9.73</v>
      </c>
      <c r="Q12" s="28">
        <v>12.5</v>
      </c>
      <c r="R12" s="28">
        <v>17.5</v>
      </c>
      <c r="S12" s="28">
        <v>16.5</v>
      </c>
      <c r="T12" s="28">
        <v>18.5</v>
      </c>
      <c r="U12" s="28">
        <v>10.1</v>
      </c>
      <c r="V12" s="28">
        <f t="shared" ref="V12:V35" si="4">+SUM(P12:U12)</f>
        <v>84.83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176480</v>
      </c>
      <c r="C13" s="28">
        <v>0</v>
      </c>
      <c r="D13" s="28">
        <v>24536.240000000002</v>
      </c>
      <c r="E13" s="28">
        <v>78.97</v>
      </c>
      <c r="F13" s="28">
        <v>79.63</v>
      </c>
      <c r="G13" s="28">
        <f t="shared" si="0"/>
        <v>158.6</v>
      </c>
      <c r="H13" s="28">
        <v>0</v>
      </c>
      <c r="I13" s="28">
        <v>0</v>
      </c>
      <c r="J13" s="112">
        <v>164</v>
      </c>
      <c r="K13" s="28">
        <f t="shared" si="1"/>
        <v>-3.2926829268292717</v>
      </c>
      <c r="L13" s="28"/>
      <c r="M13" s="28"/>
      <c r="N13" s="28">
        <f t="shared" si="2"/>
        <v>9670.7447414880226</v>
      </c>
      <c r="O13" s="28" t="str">
        <f t="shared" si="3"/>
        <v/>
      </c>
      <c r="P13" s="28">
        <v>9.69</v>
      </c>
      <c r="Q13" s="28">
        <v>12.49</v>
      </c>
      <c r="R13" s="28">
        <v>17.510000000000002</v>
      </c>
      <c r="S13" s="28">
        <v>16.5</v>
      </c>
      <c r="T13" s="28">
        <v>18.5</v>
      </c>
      <c r="U13" s="28">
        <v>9.98</v>
      </c>
      <c r="V13" s="28">
        <f t="shared" si="4"/>
        <v>84.67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176230</v>
      </c>
      <c r="C14" s="28">
        <v>0</v>
      </c>
      <c r="D14" s="28">
        <v>20747.900000000001</v>
      </c>
      <c r="E14" s="28">
        <v>78.95</v>
      </c>
      <c r="F14" s="28">
        <v>79.63</v>
      </c>
      <c r="G14" s="28">
        <f t="shared" si="0"/>
        <v>158.57999999999998</v>
      </c>
      <c r="H14" s="28">
        <v>0</v>
      </c>
      <c r="I14" s="28">
        <v>0</v>
      </c>
      <c r="J14" s="112">
        <v>164</v>
      </c>
      <c r="K14" s="28">
        <f t="shared" si="1"/>
        <v>-3.3048780487804974</v>
      </c>
      <c r="L14" s="28"/>
      <c r="M14" s="28"/>
      <c r="N14" s="28">
        <f t="shared" si="2"/>
        <v>9662.8259049060434</v>
      </c>
      <c r="O14" s="28" t="str">
        <f t="shared" si="3"/>
        <v/>
      </c>
      <c r="P14" s="28">
        <v>9.6300000000000008</v>
      </c>
      <c r="Q14" s="28">
        <v>12.49</v>
      </c>
      <c r="R14" s="28">
        <v>17.5</v>
      </c>
      <c r="S14" s="28">
        <v>16.5</v>
      </c>
      <c r="T14" s="28">
        <v>18.5</v>
      </c>
      <c r="U14" s="28">
        <v>9.9700000000000006</v>
      </c>
      <c r="V14" s="28">
        <f t="shared" si="4"/>
        <v>84.59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176240</v>
      </c>
      <c r="C15" s="28">
        <v>0</v>
      </c>
      <c r="D15" s="28">
        <v>21512.1</v>
      </c>
      <c r="E15" s="28">
        <v>79.260000000000005</v>
      </c>
      <c r="F15" s="28">
        <v>79.94</v>
      </c>
      <c r="G15" s="28">
        <f t="shared" si="0"/>
        <v>159.19999999999999</v>
      </c>
      <c r="H15" s="28">
        <v>0</v>
      </c>
      <c r="I15" s="28">
        <v>0</v>
      </c>
      <c r="J15" s="112">
        <v>164</v>
      </c>
      <c r="K15" s="28">
        <f t="shared" si="1"/>
        <v>-2.92682926829269</v>
      </c>
      <c r="L15" s="28"/>
      <c r="M15" s="28"/>
      <c r="N15" s="28">
        <f t="shared" si="2"/>
        <v>9624.0564321608072</v>
      </c>
      <c r="O15" s="28" t="str">
        <f t="shared" si="3"/>
        <v/>
      </c>
      <c r="P15" s="28">
        <v>9.74</v>
      </c>
      <c r="Q15" s="28">
        <v>12.5</v>
      </c>
      <c r="R15" s="28">
        <v>17.5</v>
      </c>
      <c r="S15" s="28">
        <v>16.5</v>
      </c>
      <c r="T15" s="28">
        <v>18.5</v>
      </c>
      <c r="U15" s="28">
        <v>9.84</v>
      </c>
      <c r="V15" s="28">
        <f t="shared" si="4"/>
        <v>84.580000000000013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176940</v>
      </c>
      <c r="C16" s="28">
        <v>0</v>
      </c>
      <c r="D16" s="28">
        <v>21299.040000000001</v>
      </c>
      <c r="E16" s="28">
        <v>79.44</v>
      </c>
      <c r="F16" s="28">
        <v>80.13</v>
      </c>
      <c r="G16" s="28">
        <f t="shared" si="0"/>
        <v>159.57</v>
      </c>
      <c r="H16" s="28">
        <v>0</v>
      </c>
      <c r="I16" s="28">
        <v>0</v>
      </c>
      <c r="J16" s="112">
        <v>164</v>
      </c>
      <c r="K16" s="28">
        <f t="shared" si="1"/>
        <v>-2.7012195121951259</v>
      </c>
      <c r="L16" s="28"/>
      <c r="M16" s="28"/>
      <c r="N16" s="28">
        <f t="shared" si="2"/>
        <v>9604.0112803158518</v>
      </c>
      <c r="O16" s="28" t="str">
        <f t="shared" si="3"/>
        <v/>
      </c>
      <c r="P16" s="28">
        <v>9.68</v>
      </c>
      <c r="Q16" s="28">
        <v>12.5</v>
      </c>
      <c r="R16" s="28">
        <v>17.510000000000002</v>
      </c>
      <c r="S16" s="28">
        <v>16.510000000000002</v>
      </c>
      <c r="T16" s="28">
        <v>18.5</v>
      </c>
      <c r="U16" s="28">
        <v>9.9</v>
      </c>
      <c r="V16" s="28">
        <f t="shared" si="4"/>
        <v>84.600000000000009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177370</v>
      </c>
      <c r="C17" s="28">
        <v>0</v>
      </c>
      <c r="D17" s="28">
        <v>21474.66</v>
      </c>
      <c r="E17" s="28">
        <v>79.38</v>
      </c>
      <c r="F17" s="28">
        <v>80.069999999999993</v>
      </c>
      <c r="G17" s="28">
        <f t="shared" si="0"/>
        <v>159.44999999999999</v>
      </c>
      <c r="H17" s="28">
        <v>0</v>
      </c>
      <c r="I17" s="28">
        <v>0</v>
      </c>
      <c r="J17" s="112">
        <v>164</v>
      </c>
      <c r="K17" s="28">
        <f t="shared" si="1"/>
        <v>-2.7743902439024462</v>
      </c>
      <c r="L17" s="28"/>
      <c r="M17" s="28"/>
      <c r="N17" s="28">
        <f t="shared" si="2"/>
        <v>9628.2803386641608</v>
      </c>
      <c r="O17" s="28" t="str">
        <f t="shared" si="3"/>
        <v/>
      </c>
      <c r="P17" s="28">
        <v>9.67</v>
      </c>
      <c r="Q17" s="28">
        <v>12.5</v>
      </c>
      <c r="R17" s="28">
        <v>17.5</v>
      </c>
      <c r="S17" s="28">
        <v>16.5</v>
      </c>
      <c r="T17" s="28">
        <v>18.5</v>
      </c>
      <c r="U17" s="28">
        <v>10.08</v>
      </c>
      <c r="V17" s="28">
        <f t="shared" si="4"/>
        <v>84.75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177350</v>
      </c>
      <c r="C18" s="28">
        <v>0.02</v>
      </c>
      <c r="D18" s="28">
        <v>12434.6</v>
      </c>
      <c r="E18" s="28">
        <v>79.069999999999993</v>
      </c>
      <c r="F18" s="28">
        <v>79.760000000000005</v>
      </c>
      <c r="G18" s="28">
        <f t="shared" si="0"/>
        <v>158.82999999999998</v>
      </c>
      <c r="H18" s="28">
        <v>0</v>
      </c>
      <c r="I18" s="28">
        <v>0</v>
      </c>
      <c r="J18" s="112">
        <v>164</v>
      </c>
      <c r="K18" s="28">
        <f t="shared" si="1"/>
        <v>-3.1524390243902536</v>
      </c>
      <c r="L18" s="28"/>
      <c r="M18" s="28"/>
      <c r="N18" s="28">
        <f t="shared" si="2"/>
        <v>9648.7570358244702</v>
      </c>
      <c r="O18" s="28" t="str">
        <f t="shared" si="3"/>
        <v/>
      </c>
      <c r="P18" s="28">
        <v>9.65</v>
      </c>
      <c r="Q18" s="28">
        <v>12.46</v>
      </c>
      <c r="R18" s="28">
        <v>17.45</v>
      </c>
      <c r="S18" s="28">
        <v>16.45</v>
      </c>
      <c r="T18" s="28">
        <v>18.45</v>
      </c>
      <c r="U18" s="28">
        <v>10.14</v>
      </c>
      <c r="V18" s="28">
        <f t="shared" si="4"/>
        <v>84.600000000000009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176800</v>
      </c>
      <c r="C19" s="28">
        <v>3.21</v>
      </c>
      <c r="D19" s="28">
        <v>3313.48</v>
      </c>
      <c r="E19" s="28">
        <v>79.13</v>
      </c>
      <c r="F19" s="28">
        <v>79.81</v>
      </c>
      <c r="G19" s="28">
        <f t="shared" si="0"/>
        <v>158.94</v>
      </c>
      <c r="H19" s="28">
        <v>0</v>
      </c>
      <c r="I19" s="28">
        <v>0</v>
      </c>
      <c r="J19" s="112">
        <v>164</v>
      </c>
      <c r="K19" s="28">
        <f t="shared" si="1"/>
        <v>-3.085365853658538</v>
      </c>
      <c r="L19" s="28"/>
      <c r="M19" s="28"/>
      <c r="N19" s="28">
        <f t="shared" si="2"/>
        <v>9629.542292689066</v>
      </c>
      <c r="O19" s="28" t="str">
        <f t="shared" si="3"/>
        <v/>
      </c>
      <c r="P19" s="28">
        <v>9.7799999999999994</v>
      </c>
      <c r="Q19" s="28">
        <v>12.4</v>
      </c>
      <c r="R19" s="28">
        <v>17.399999999999999</v>
      </c>
      <c r="S19" s="28">
        <v>16.399999999999999</v>
      </c>
      <c r="T19" s="28">
        <v>18.399999999999999</v>
      </c>
      <c r="U19" s="28">
        <v>10.11</v>
      </c>
      <c r="V19" s="28">
        <f t="shared" si="4"/>
        <v>84.49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176650</v>
      </c>
      <c r="C20" s="28">
        <v>0</v>
      </c>
      <c r="D20" s="28">
        <v>6689.95</v>
      </c>
      <c r="E20" s="28">
        <v>79.52</v>
      </c>
      <c r="F20" s="28">
        <v>80.150000000000006</v>
      </c>
      <c r="G20" s="28">
        <f t="shared" si="0"/>
        <v>159.67000000000002</v>
      </c>
      <c r="H20" s="28">
        <v>0</v>
      </c>
      <c r="I20" s="28">
        <v>0</v>
      </c>
      <c r="J20" s="112">
        <v>164</v>
      </c>
      <c r="K20" s="28">
        <f t="shared" si="1"/>
        <v>-2.6402439024390145</v>
      </c>
      <c r="L20" s="28"/>
      <c r="M20" s="28"/>
      <c r="N20" s="28">
        <f t="shared" si="2"/>
        <v>9596.8618525709244</v>
      </c>
      <c r="O20" s="28" t="str">
        <f t="shared" si="3"/>
        <v/>
      </c>
      <c r="P20" s="28">
        <v>10.02</v>
      </c>
      <c r="Q20" s="28">
        <v>12.41</v>
      </c>
      <c r="R20" s="28">
        <v>17.399999999999999</v>
      </c>
      <c r="S20" s="28">
        <v>16.41</v>
      </c>
      <c r="T20" s="28">
        <v>18.399999999999999</v>
      </c>
      <c r="U20" s="28">
        <v>9.9499999999999993</v>
      </c>
      <c r="V20" s="28">
        <f t="shared" si="4"/>
        <v>84.589999999999989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177300</v>
      </c>
      <c r="C21" s="28">
        <v>18.940000000000001</v>
      </c>
      <c r="D21" s="28">
        <v>13719.77</v>
      </c>
      <c r="E21" s="28">
        <v>127.54</v>
      </c>
      <c r="F21" s="28">
        <v>31.51</v>
      </c>
      <c r="G21" s="28">
        <f t="shared" si="0"/>
        <v>159.05000000000001</v>
      </c>
      <c r="H21" s="28">
        <v>0</v>
      </c>
      <c r="I21" s="28">
        <v>0.01</v>
      </c>
      <c r="J21" s="112">
        <v>164</v>
      </c>
      <c r="K21" s="28">
        <f t="shared" si="1"/>
        <v>-3.0182926829268224</v>
      </c>
      <c r="L21" s="28"/>
      <c r="M21" s="28"/>
      <c r="N21" s="28">
        <f t="shared" si="2"/>
        <v>9645.6611883055648</v>
      </c>
      <c r="O21" s="28" t="str">
        <f t="shared" si="3"/>
        <v/>
      </c>
      <c r="P21" s="28">
        <v>10.15</v>
      </c>
      <c r="Q21" s="28">
        <v>12.39</v>
      </c>
      <c r="R21" s="28">
        <v>17.399999999999999</v>
      </c>
      <c r="S21" s="28">
        <v>16.41</v>
      </c>
      <c r="T21" s="28">
        <v>18.399999999999999</v>
      </c>
      <c r="U21" s="28">
        <v>9.94</v>
      </c>
      <c r="V21" s="28">
        <f t="shared" si="4"/>
        <v>84.69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177260</v>
      </c>
      <c r="C22" s="28">
        <v>0</v>
      </c>
      <c r="D22" s="28">
        <v>7669.87</v>
      </c>
      <c r="E22" s="28">
        <v>158.87</v>
      </c>
      <c r="F22" s="28">
        <v>0</v>
      </c>
      <c r="G22" s="28">
        <f t="shared" si="0"/>
        <v>158.87</v>
      </c>
      <c r="H22" s="28">
        <v>0</v>
      </c>
      <c r="I22" s="28">
        <v>0</v>
      </c>
      <c r="J22" s="112">
        <v>164</v>
      </c>
      <c r="K22" s="28">
        <f t="shared" si="1"/>
        <v>-3.1280487804878021</v>
      </c>
      <c r="L22" s="28"/>
      <c r="M22" s="28"/>
      <c r="N22" s="28">
        <f t="shared" si="2"/>
        <v>9589.3162963429222</v>
      </c>
      <c r="O22" s="28" t="str">
        <f t="shared" si="3"/>
        <v/>
      </c>
      <c r="P22" s="28">
        <v>10.17</v>
      </c>
      <c r="Q22" s="28">
        <v>12.23</v>
      </c>
      <c r="R22" s="28">
        <v>17.239999999999998</v>
      </c>
      <c r="S22" s="28">
        <v>16.239999999999998</v>
      </c>
      <c r="T22" s="28">
        <v>18.23</v>
      </c>
      <c r="U22" s="28">
        <v>9.99</v>
      </c>
      <c r="V22" s="28">
        <f t="shared" si="4"/>
        <v>84.1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177460</v>
      </c>
      <c r="C23" s="28">
        <v>0</v>
      </c>
      <c r="D23" s="28">
        <v>6081.8</v>
      </c>
      <c r="E23" s="28">
        <v>158.54</v>
      </c>
      <c r="F23" s="28">
        <v>0</v>
      </c>
      <c r="G23" s="28">
        <f t="shared" si="0"/>
        <v>158.54</v>
      </c>
      <c r="H23" s="28">
        <v>0</v>
      </c>
      <c r="I23" s="28">
        <v>0</v>
      </c>
      <c r="J23" s="112">
        <v>164</v>
      </c>
      <c r="K23" s="28">
        <f t="shared" si="1"/>
        <v>-3.3292682926829316</v>
      </c>
      <c r="L23" s="28"/>
      <c r="M23" s="28"/>
      <c r="N23" s="28">
        <f t="shared" si="2"/>
        <v>9567.0001513813568</v>
      </c>
      <c r="O23" s="28" t="str">
        <f t="shared" si="3"/>
        <v/>
      </c>
      <c r="P23" s="28">
        <v>10.09</v>
      </c>
      <c r="Q23" s="28">
        <v>12.2</v>
      </c>
      <c r="R23" s="28">
        <v>17.2</v>
      </c>
      <c r="S23" s="28">
        <v>16.2</v>
      </c>
      <c r="T23" s="28">
        <v>18.2</v>
      </c>
      <c r="U23" s="28">
        <v>9.84</v>
      </c>
      <c r="V23" s="28">
        <f t="shared" si="4"/>
        <v>83.73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176980</v>
      </c>
      <c r="C24" s="28">
        <v>0</v>
      </c>
      <c r="D24" s="28">
        <v>6441.7</v>
      </c>
      <c r="E24" s="28">
        <v>158.66999999999999</v>
      </c>
      <c r="F24" s="28">
        <v>0</v>
      </c>
      <c r="G24" s="28">
        <f t="shared" si="0"/>
        <v>158.66999999999999</v>
      </c>
      <c r="H24" s="28">
        <v>0</v>
      </c>
      <c r="I24" s="28">
        <v>0</v>
      </c>
      <c r="J24" s="112">
        <v>164</v>
      </c>
      <c r="K24" s="28">
        <f t="shared" si="1"/>
        <v>-3.2500000000000075</v>
      </c>
      <c r="L24" s="28"/>
      <c r="M24" s="28"/>
      <c r="N24" s="28">
        <f t="shared" si="2"/>
        <v>9542.0368311590119</v>
      </c>
      <c r="O24" s="28" t="str">
        <f t="shared" si="3"/>
        <v/>
      </c>
      <c r="P24" s="28">
        <v>10.06</v>
      </c>
      <c r="Q24" s="28">
        <v>12.19</v>
      </c>
      <c r="R24" s="28">
        <v>17.2</v>
      </c>
      <c r="S24" s="28">
        <v>16.21</v>
      </c>
      <c r="T24" s="28">
        <v>18.2</v>
      </c>
      <c r="U24" s="28">
        <v>9.7200000000000006</v>
      </c>
      <c r="V24" s="28">
        <f t="shared" si="4"/>
        <v>83.58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177030</v>
      </c>
      <c r="C25" s="28">
        <v>0.01</v>
      </c>
      <c r="D25" s="28">
        <v>4251.24</v>
      </c>
      <c r="E25" s="28">
        <v>159.09</v>
      </c>
      <c r="F25" s="28">
        <v>0</v>
      </c>
      <c r="G25" s="28">
        <f t="shared" si="0"/>
        <v>159.09</v>
      </c>
      <c r="H25" s="28">
        <v>0</v>
      </c>
      <c r="I25" s="28">
        <v>0</v>
      </c>
      <c r="J25" s="112">
        <v>164</v>
      </c>
      <c r="K25" s="28">
        <f t="shared" si="1"/>
        <v>-2.9939024390243882</v>
      </c>
      <c r="L25" s="28"/>
      <c r="M25" s="28"/>
      <c r="N25" s="28">
        <f t="shared" si="2"/>
        <v>9532.7868250675729</v>
      </c>
      <c r="O25" s="28" t="str">
        <f t="shared" si="3"/>
        <v/>
      </c>
      <c r="P25" s="28">
        <v>9.8699999999999992</v>
      </c>
      <c r="Q25" s="28">
        <v>12.31</v>
      </c>
      <c r="R25" s="28">
        <v>17.32</v>
      </c>
      <c r="S25" s="28">
        <v>16.329999999999998</v>
      </c>
      <c r="T25" s="28">
        <v>18.32</v>
      </c>
      <c r="U25" s="28">
        <v>9.57</v>
      </c>
      <c r="V25" s="28">
        <f t="shared" si="4"/>
        <v>83.72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177580</v>
      </c>
      <c r="C26" s="28">
        <v>145.88999999999999</v>
      </c>
      <c r="D26" s="28">
        <v>2617</v>
      </c>
      <c r="E26" s="28">
        <v>156.51</v>
      </c>
      <c r="F26" s="28">
        <v>0</v>
      </c>
      <c r="G26" s="28">
        <f t="shared" si="0"/>
        <v>156.51</v>
      </c>
      <c r="H26" s="28">
        <v>0</v>
      </c>
      <c r="I26" s="28">
        <v>0</v>
      </c>
      <c r="J26" s="112">
        <v>164</v>
      </c>
      <c r="K26" s="28">
        <f t="shared" si="1"/>
        <v>-4.5670731707317129</v>
      </c>
      <c r="L26" s="28"/>
      <c r="M26" s="28"/>
      <c r="N26" s="28">
        <f t="shared" si="2"/>
        <v>9692.2455561944935</v>
      </c>
      <c r="O26" s="28" t="str">
        <f t="shared" si="3"/>
        <v/>
      </c>
      <c r="P26" s="28">
        <v>9.7799999999999994</v>
      </c>
      <c r="Q26" s="28">
        <v>12.34</v>
      </c>
      <c r="R26" s="28">
        <v>17.32</v>
      </c>
      <c r="S26" s="28">
        <v>16.329999999999998</v>
      </c>
      <c r="T26" s="28">
        <v>18.329999999999998</v>
      </c>
      <c r="U26" s="28">
        <v>9.64</v>
      </c>
      <c r="V26" s="28">
        <f t="shared" si="4"/>
        <v>83.74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174720</v>
      </c>
      <c r="C27" s="28">
        <v>4120.6000000000004</v>
      </c>
      <c r="D27" s="28">
        <v>4.7300000000000004</v>
      </c>
      <c r="E27" s="28">
        <v>126.56</v>
      </c>
      <c r="F27" s="28">
        <v>0</v>
      </c>
      <c r="G27" s="28">
        <f t="shared" si="0"/>
        <v>126.56</v>
      </c>
      <c r="H27" s="28">
        <v>0</v>
      </c>
      <c r="I27" s="28">
        <v>0</v>
      </c>
      <c r="J27" s="112">
        <v>164</v>
      </c>
      <c r="K27" s="28">
        <f t="shared" si="1"/>
        <v>-22.829268292682926</v>
      </c>
      <c r="L27" s="28"/>
      <c r="M27" s="28" t="s">
        <v>99</v>
      </c>
      <c r="N27" s="28">
        <f t="shared" si="2"/>
        <v>11638.071965865993</v>
      </c>
      <c r="O27" s="28">
        <f t="shared" si="3"/>
        <v>-37.44</v>
      </c>
      <c r="P27" s="28">
        <v>9.5</v>
      </c>
      <c r="Q27" s="28">
        <v>11.82</v>
      </c>
      <c r="R27" s="28">
        <v>16.809999999999999</v>
      </c>
      <c r="S27" s="28">
        <v>15.81</v>
      </c>
      <c r="T27" s="28">
        <v>17.809999999999999</v>
      </c>
      <c r="U27" s="28">
        <v>9.56</v>
      </c>
      <c r="V27" s="28">
        <f t="shared" si="4"/>
        <v>81.31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143270</v>
      </c>
      <c r="C28" s="28">
        <v>8005.26</v>
      </c>
      <c r="D28" s="28">
        <v>0</v>
      </c>
      <c r="E28" s="28">
        <v>98.83</v>
      </c>
      <c r="F28" s="28">
        <v>0</v>
      </c>
      <c r="G28" s="28">
        <f t="shared" si="0"/>
        <v>98.83</v>
      </c>
      <c r="H28" s="28">
        <v>0</v>
      </c>
      <c r="I28" s="28">
        <v>0</v>
      </c>
      <c r="J28" s="112">
        <v>164</v>
      </c>
      <c r="K28" s="28">
        <f t="shared" si="1"/>
        <v>-39.737804878048777</v>
      </c>
      <c r="L28" s="28"/>
      <c r="M28" s="28" t="s">
        <v>99</v>
      </c>
      <c r="N28" s="28">
        <f t="shared" si="2"/>
        <v>11739.886066983709</v>
      </c>
      <c r="O28" s="28">
        <f t="shared" si="3"/>
        <v>-65.17</v>
      </c>
      <c r="P28" s="28">
        <v>5.41</v>
      </c>
      <c r="Q28" s="28">
        <v>8.57</v>
      </c>
      <c r="R28" s="28">
        <v>13.55</v>
      </c>
      <c r="S28" s="28">
        <v>12.55</v>
      </c>
      <c r="T28" s="28">
        <v>14.55</v>
      </c>
      <c r="U28" s="28">
        <v>9.42</v>
      </c>
      <c r="V28" s="28">
        <f t="shared" si="4"/>
        <v>64.05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114890</v>
      </c>
      <c r="C29" s="28">
        <v>8179.64</v>
      </c>
      <c r="D29" s="28">
        <v>942.92</v>
      </c>
      <c r="E29" s="28">
        <v>77.2</v>
      </c>
      <c r="F29" s="28">
        <v>0</v>
      </c>
      <c r="G29" s="28">
        <f t="shared" si="0"/>
        <v>77.2</v>
      </c>
      <c r="H29" s="28">
        <v>0</v>
      </c>
      <c r="I29" s="28">
        <v>0</v>
      </c>
      <c r="J29" s="112">
        <v>164</v>
      </c>
      <c r="K29" s="28">
        <f t="shared" si="1"/>
        <v>-52.926829268292686</v>
      </c>
      <c r="L29" s="28"/>
      <c r="M29" s="28" t="s">
        <v>99</v>
      </c>
      <c r="N29" s="28">
        <f t="shared" si="2"/>
        <v>11225.54445595855</v>
      </c>
      <c r="O29" s="28">
        <f t="shared" si="3"/>
        <v>-86.8</v>
      </c>
      <c r="P29" s="28">
        <v>0</v>
      </c>
      <c r="Q29" s="28">
        <v>5.84</v>
      </c>
      <c r="R29" s="28">
        <v>10.86</v>
      </c>
      <c r="S29" s="28">
        <v>9.84</v>
      </c>
      <c r="T29" s="28">
        <v>11.85</v>
      </c>
      <c r="U29" s="28">
        <v>9.4499999999999993</v>
      </c>
      <c r="V29" s="28">
        <f t="shared" si="4"/>
        <v>47.84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92050</v>
      </c>
      <c r="C30" s="28">
        <v>69.87</v>
      </c>
      <c r="D30" s="28">
        <v>3200.56</v>
      </c>
      <c r="E30" s="28">
        <v>9.7100000000000009</v>
      </c>
      <c r="F30" s="28">
        <v>0</v>
      </c>
      <c r="G30" s="28">
        <f t="shared" si="0"/>
        <v>9.7100000000000009</v>
      </c>
      <c r="H30" s="28">
        <v>6613.37</v>
      </c>
      <c r="I30" s="28">
        <v>0</v>
      </c>
      <c r="J30" s="112">
        <v>164</v>
      </c>
      <c r="K30" s="28">
        <f t="shared" si="1"/>
        <v>-94.079268292682926</v>
      </c>
      <c r="L30" s="28"/>
      <c r="M30" s="28" t="s">
        <v>99</v>
      </c>
      <c r="N30" s="28">
        <f t="shared" si="2"/>
        <v>79026.048197734301</v>
      </c>
      <c r="O30" s="28">
        <f t="shared" si="3"/>
        <v>-154.29</v>
      </c>
      <c r="P30" s="28">
        <v>0</v>
      </c>
      <c r="Q30" s="28">
        <v>5.52</v>
      </c>
      <c r="R30" s="28">
        <v>10.52</v>
      </c>
      <c r="S30" s="28">
        <v>9.5299999999999994</v>
      </c>
      <c r="T30" s="28">
        <v>11.52</v>
      </c>
      <c r="U30" s="28">
        <v>5.27</v>
      </c>
      <c r="V30" s="28">
        <f t="shared" si="4"/>
        <v>42.36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13390</v>
      </c>
      <c r="C31" s="28">
        <v>0</v>
      </c>
      <c r="D31" s="28">
        <v>2741.55</v>
      </c>
      <c r="E31" s="28">
        <v>0</v>
      </c>
      <c r="F31" s="28">
        <v>0</v>
      </c>
      <c r="G31" s="28">
        <f t="shared" si="0"/>
        <v>0</v>
      </c>
      <c r="H31" s="28">
        <v>8166.33</v>
      </c>
      <c r="I31" s="28">
        <v>0</v>
      </c>
      <c r="J31" s="112">
        <v>0</v>
      </c>
      <c r="K31" s="28">
        <f t="shared" si="1"/>
        <v>0</v>
      </c>
      <c r="L31" s="28"/>
      <c r="M31" s="28" t="s">
        <v>99</v>
      </c>
      <c r="N31" s="28" t="str">
        <f t="shared" si="2"/>
        <v/>
      </c>
      <c r="O31" s="28" t="str">
        <f t="shared" si="3"/>
        <v/>
      </c>
      <c r="P31" s="28">
        <v>0</v>
      </c>
      <c r="Q31" s="28">
        <v>1.1599999999999999</v>
      </c>
      <c r="R31" s="28">
        <v>1.93</v>
      </c>
      <c r="S31" s="28">
        <v>1.65</v>
      </c>
      <c r="T31" s="28">
        <v>1.97</v>
      </c>
      <c r="U31" s="28">
        <v>0</v>
      </c>
      <c r="V31" s="28">
        <f t="shared" si="4"/>
        <v>6.71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0</v>
      </c>
      <c r="C32" s="28">
        <v>0</v>
      </c>
      <c r="D32" s="28">
        <v>1729.92</v>
      </c>
      <c r="E32" s="28">
        <v>0</v>
      </c>
      <c r="F32" s="28">
        <v>0</v>
      </c>
      <c r="G32" s="28">
        <f t="shared" si="0"/>
        <v>0</v>
      </c>
      <c r="H32" s="28">
        <v>6719.79</v>
      </c>
      <c r="I32" s="28">
        <v>0</v>
      </c>
      <c r="J32" s="112">
        <v>0</v>
      </c>
      <c r="K32" s="28">
        <f t="shared" si="1"/>
        <v>0</v>
      </c>
      <c r="L32" s="28"/>
      <c r="M32" s="28" t="s">
        <v>99</v>
      </c>
      <c r="N32" s="28" t="str">
        <f t="shared" si="2"/>
        <v/>
      </c>
      <c r="O32" s="28" t="str">
        <f t="shared" si="3"/>
        <v/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f t="shared" si="4"/>
        <v>0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0</v>
      </c>
      <c r="C33" s="28">
        <v>0</v>
      </c>
      <c r="D33" s="28">
        <v>1625.43</v>
      </c>
      <c r="E33" s="28">
        <v>0</v>
      </c>
      <c r="F33" s="28">
        <v>0</v>
      </c>
      <c r="G33" s="28">
        <f t="shared" si="0"/>
        <v>0</v>
      </c>
      <c r="H33" s="28">
        <v>5046.82</v>
      </c>
      <c r="I33" s="28">
        <v>0</v>
      </c>
      <c r="J33" s="112">
        <v>0</v>
      </c>
      <c r="K33" s="28">
        <f t="shared" si="1"/>
        <v>0</v>
      </c>
      <c r="L33" s="28"/>
      <c r="M33" s="28" t="s">
        <v>99</v>
      </c>
      <c r="N33" s="28" t="str">
        <f t="shared" si="2"/>
        <v/>
      </c>
      <c r="O33" s="28" t="str">
        <f t="shared" si="3"/>
        <v/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f t="shared" si="4"/>
        <v>0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0</v>
      </c>
      <c r="C34" s="28">
        <v>0</v>
      </c>
      <c r="D34" s="28">
        <v>1133.9100000000001</v>
      </c>
      <c r="E34" s="28">
        <v>0</v>
      </c>
      <c r="F34" s="28">
        <v>0</v>
      </c>
      <c r="G34" s="28">
        <f t="shared" si="0"/>
        <v>0</v>
      </c>
      <c r="H34" s="28">
        <v>4321.71</v>
      </c>
      <c r="I34" s="28">
        <v>0</v>
      </c>
      <c r="J34" s="112">
        <v>0</v>
      </c>
      <c r="K34" s="28">
        <f t="shared" si="1"/>
        <v>0</v>
      </c>
      <c r="L34" s="28"/>
      <c r="M34" s="28" t="s">
        <v>99</v>
      </c>
      <c r="N34" s="28" t="str">
        <f t="shared" si="2"/>
        <v/>
      </c>
      <c r="O34" s="28" t="str">
        <f t="shared" si="3"/>
        <v/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f t="shared" si="4"/>
        <v>0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0</v>
      </c>
      <c r="C35" s="28">
        <v>0</v>
      </c>
      <c r="D35" s="28">
        <v>1117.47</v>
      </c>
      <c r="E35" s="28">
        <v>0</v>
      </c>
      <c r="F35" s="28">
        <v>0</v>
      </c>
      <c r="G35" s="28">
        <f t="shared" si="0"/>
        <v>0</v>
      </c>
      <c r="H35" s="28">
        <v>4259.99</v>
      </c>
      <c r="I35" s="28">
        <v>0</v>
      </c>
      <c r="J35" s="112">
        <v>0</v>
      </c>
      <c r="K35" s="116">
        <f t="shared" si="1"/>
        <v>0</v>
      </c>
      <c r="L35" s="28"/>
      <c r="M35" s="28" t="s">
        <v>99</v>
      </c>
      <c r="N35" s="28" t="str">
        <f t="shared" si="2"/>
        <v/>
      </c>
      <c r="O35" s="28" t="str">
        <f t="shared" si="3"/>
        <v/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f t="shared" si="4"/>
        <v>0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3192380</v>
      </c>
      <c r="C36" s="35">
        <f t="shared" ref="C36:J36" si="5">SUM(C12:C35)</f>
        <v>20543.439999999999</v>
      </c>
      <c r="D36" s="35">
        <f t="shared" si="5"/>
        <v>205022.50000000003</v>
      </c>
      <c r="E36" s="35">
        <f t="shared" si="5"/>
        <v>1944.3</v>
      </c>
      <c r="F36" s="35">
        <f t="shared" si="5"/>
        <v>750.37</v>
      </c>
      <c r="G36" s="35">
        <f t="shared" si="5"/>
        <v>2694.6699999999996</v>
      </c>
      <c r="H36" s="35">
        <f t="shared" si="5"/>
        <v>35128.01</v>
      </c>
      <c r="I36" s="35">
        <f t="shared" si="5"/>
        <v>0.01</v>
      </c>
      <c r="J36" s="35">
        <f t="shared" si="5"/>
        <v>3116</v>
      </c>
      <c r="K36" s="36"/>
      <c r="L36" s="37"/>
      <c r="M36" s="38"/>
      <c r="N36" s="35">
        <f>IFERROR(AVERAGE(N12:N35),"")</f>
        <v>13575.815477025624</v>
      </c>
      <c r="O36" s="39">
        <f t="shared" ref="O36:U36" si="6">SUM(O12:O35)</f>
        <v>-343.7</v>
      </c>
      <c r="P36" s="39">
        <f t="shared" si="6"/>
        <v>162.62</v>
      </c>
      <c r="Q36" s="39">
        <f t="shared" si="6"/>
        <v>218.82</v>
      </c>
      <c r="R36" s="39">
        <f t="shared" si="6"/>
        <v>314.62</v>
      </c>
      <c r="S36" s="39">
        <f t="shared" si="6"/>
        <v>295.36999999999995</v>
      </c>
      <c r="T36" s="39">
        <f t="shared" si="6"/>
        <v>333.63</v>
      </c>
      <c r="U36" s="39">
        <f t="shared" si="6"/>
        <v>182.46999999999997</v>
      </c>
      <c r="V36" s="39">
        <f>SUM(V12:V35)</f>
        <v>1507.53</v>
      </c>
      <c r="W36" s="40">
        <f>SUM(W12:W35)</f>
        <v>0</v>
      </c>
      <c r="X36" s="40">
        <f>SUM(X12:X35)</f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35128.020000000004</v>
      </c>
      <c r="J41" s="41"/>
      <c r="K41" s="13" t="s">
        <v>59</v>
      </c>
      <c r="L41" s="113">
        <v>354252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0.7631944444444444</v>
      </c>
      <c r="B42" s="57">
        <v>0</v>
      </c>
      <c r="C42" s="57">
        <v>0.23680555555555555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150053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>
        <f>IFERROR(3412.14/N36,"")</f>
        <v>0.25133959766721714</v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15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Omar E. Fedullo Rueda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1498.96</v>
      </c>
      <c r="D58" s="81">
        <v>0</v>
      </c>
      <c r="E58" s="82">
        <v>0</v>
      </c>
      <c r="F58" s="83">
        <v>7136.05</v>
      </c>
      <c r="G58" s="82">
        <v>0</v>
      </c>
      <c r="H58" s="84">
        <f t="shared" ref="H58:H81" si="7">IF(G58=0,0,100*(E58-G58)/G58)</f>
        <v>0</v>
      </c>
      <c r="I58" s="85"/>
      <c r="J58" s="85"/>
      <c r="K58" s="86" t="str">
        <f t="shared" ref="K58:K81" si="8">IFERROR(U58*1000*2.2*$K$92/E58/1000,"")</f>
        <v/>
      </c>
      <c r="L58" s="87"/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1392.9</v>
      </c>
      <c r="D59" s="81">
        <v>0</v>
      </c>
      <c r="E59" s="82">
        <v>0</v>
      </c>
      <c r="F59" s="82">
        <v>7787.42</v>
      </c>
      <c r="G59" s="82">
        <v>0</v>
      </c>
      <c r="H59" s="91">
        <f t="shared" si="7"/>
        <v>0</v>
      </c>
      <c r="I59" s="85"/>
      <c r="J59" s="85"/>
      <c r="K59" s="86" t="str">
        <f t="shared" si="8"/>
        <v/>
      </c>
      <c r="L59" s="87" t="str">
        <f t="shared" ref="L59:L81" si="9">IF(OR(H59&gt;5,H59&lt;-5),E59-G59,"")</f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10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1374.86</v>
      </c>
      <c r="D60" s="81">
        <v>0</v>
      </c>
      <c r="E60" s="82">
        <v>0</v>
      </c>
      <c r="F60" s="82">
        <v>7755.29</v>
      </c>
      <c r="G60" s="82">
        <v>0</v>
      </c>
      <c r="H60" s="91">
        <f t="shared" si="7"/>
        <v>0</v>
      </c>
      <c r="I60" s="85"/>
      <c r="J60" s="85"/>
      <c r="K60" s="86" t="str">
        <f t="shared" si="8"/>
        <v/>
      </c>
      <c r="L60" s="87" t="str">
        <f t="shared" si="9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10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1468.02</v>
      </c>
      <c r="D61" s="81">
        <v>0</v>
      </c>
      <c r="E61" s="82">
        <v>0</v>
      </c>
      <c r="F61" s="82">
        <v>7410.47</v>
      </c>
      <c r="G61" s="82">
        <v>0</v>
      </c>
      <c r="H61" s="91">
        <f t="shared" si="7"/>
        <v>0</v>
      </c>
      <c r="I61" s="85"/>
      <c r="J61" s="85"/>
      <c r="K61" s="86" t="str">
        <f t="shared" si="8"/>
        <v/>
      </c>
      <c r="L61" s="87" t="str">
        <f t="shared" si="9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10"/>
        <v>0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1513.27</v>
      </c>
      <c r="D62" s="81">
        <v>0</v>
      </c>
      <c r="E62" s="82">
        <v>0</v>
      </c>
      <c r="F62" s="82">
        <v>7091.39</v>
      </c>
      <c r="G62" s="82">
        <v>0</v>
      </c>
      <c r="H62" s="91">
        <f t="shared" si="7"/>
        <v>0</v>
      </c>
      <c r="I62" s="85"/>
      <c r="J62" s="85"/>
      <c r="K62" s="86" t="str">
        <f t="shared" si="8"/>
        <v/>
      </c>
      <c r="L62" s="87" t="str">
        <f t="shared" si="9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10"/>
        <v>0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1542.64</v>
      </c>
      <c r="D63" s="81">
        <v>0</v>
      </c>
      <c r="E63" s="82">
        <v>0</v>
      </c>
      <c r="F63" s="82">
        <v>7130.28</v>
      </c>
      <c r="G63" s="82">
        <v>0</v>
      </c>
      <c r="H63" s="91">
        <f t="shared" si="7"/>
        <v>0</v>
      </c>
      <c r="I63" s="85"/>
      <c r="J63" s="85"/>
      <c r="K63" s="86" t="str">
        <f t="shared" si="8"/>
        <v/>
      </c>
      <c r="L63" s="87" t="str">
        <f t="shared" si="9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10"/>
        <v>0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1634.71</v>
      </c>
      <c r="D64" s="81">
        <v>0</v>
      </c>
      <c r="E64" s="82">
        <v>0</v>
      </c>
      <c r="F64" s="82">
        <v>6896.13</v>
      </c>
      <c r="G64" s="82">
        <v>0</v>
      </c>
      <c r="H64" s="91">
        <f t="shared" si="7"/>
        <v>0</v>
      </c>
      <c r="I64" s="85"/>
      <c r="J64" s="85"/>
      <c r="K64" s="86" t="str">
        <f t="shared" si="8"/>
        <v/>
      </c>
      <c r="L64" s="87" t="str">
        <f t="shared" si="9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10"/>
        <v>0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1944.24</v>
      </c>
      <c r="D65" s="81">
        <v>0</v>
      </c>
      <c r="E65" s="82">
        <v>0</v>
      </c>
      <c r="F65" s="82">
        <v>5844.61</v>
      </c>
      <c r="G65" s="82">
        <v>0</v>
      </c>
      <c r="H65" s="91">
        <f t="shared" si="7"/>
        <v>0</v>
      </c>
      <c r="I65" s="85"/>
      <c r="J65" s="85"/>
      <c r="K65" s="86" t="str">
        <f t="shared" si="8"/>
        <v/>
      </c>
      <c r="L65" s="87" t="str">
        <f t="shared" si="9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10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1776.11</v>
      </c>
      <c r="D66" s="81">
        <v>59.78</v>
      </c>
      <c r="E66" s="82">
        <v>0</v>
      </c>
      <c r="F66" s="82">
        <v>5631.86</v>
      </c>
      <c r="G66" s="82">
        <v>0</v>
      </c>
      <c r="H66" s="91">
        <f t="shared" si="7"/>
        <v>0</v>
      </c>
      <c r="I66" s="85"/>
      <c r="J66" s="85"/>
      <c r="K66" s="86" t="str">
        <f t="shared" si="8"/>
        <v/>
      </c>
      <c r="L66" s="87" t="str">
        <f t="shared" si="9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10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1597.7</v>
      </c>
      <c r="D67" s="81">
        <v>0</v>
      </c>
      <c r="E67" s="82">
        <v>0</v>
      </c>
      <c r="F67" s="82">
        <v>7130.49</v>
      </c>
      <c r="G67" s="82">
        <v>0</v>
      </c>
      <c r="H67" s="91">
        <f t="shared" si="7"/>
        <v>0</v>
      </c>
      <c r="I67" s="85"/>
      <c r="J67" s="85"/>
      <c r="K67" s="86" t="str">
        <f t="shared" si="8"/>
        <v/>
      </c>
      <c r="L67" s="87" t="str">
        <f t="shared" si="9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10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1407.58</v>
      </c>
      <c r="D68" s="81">
        <v>0</v>
      </c>
      <c r="E68" s="82">
        <v>0</v>
      </c>
      <c r="F68" s="82">
        <v>8422.2099999999991</v>
      </c>
      <c r="G68" s="82">
        <v>0</v>
      </c>
      <c r="H68" s="91">
        <f t="shared" si="7"/>
        <v>0</v>
      </c>
      <c r="I68" s="85"/>
      <c r="K68" s="86" t="str">
        <f t="shared" si="8"/>
        <v/>
      </c>
      <c r="L68" s="87" t="str">
        <f t="shared" si="9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10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1534.64</v>
      </c>
      <c r="D69" s="81">
        <v>0</v>
      </c>
      <c r="E69" s="82">
        <v>0</v>
      </c>
      <c r="F69" s="82">
        <v>7839.52</v>
      </c>
      <c r="G69" s="82">
        <v>0</v>
      </c>
      <c r="H69" s="91">
        <f t="shared" si="7"/>
        <v>0</v>
      </c>
      <c r="I69" s="85"/>
      <c r="J69" s="85"/>
      <c r="K69" s="86" t="str">
        <f t="shared" si="8"/>
        <v/>
      </c>
      <c r="L69" s="87" t="str">
        <f t="shared" si="9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10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1543.9</v>
      </c>
      <c r="D70" s="81">
        <v>0</v>
      </c>
      <c r="E70" s="82">
        <v>0</v>
      </c>
      <c r="F70" s="82">
        <v>7587.41</v>
      </c>
      <c r="G70" s="82">
        <v>0</v>
      </c>
      <c r="H70" s="91">
        <f t="shared" si="7"/>
        <v>0</v>
      </c>
      <c r="I70" s="85"/>
      <c r="J70" s="85"/>
      <c r="K70" s="86" t="str">
        <f t="shared" si="8"/>
        <v/>
      </c>
      <c r="L70" s="87" t="str">
        <f t="shared" si="9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10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2179.83</v>
      </c>
      <c r="D71" s="81">
        <v>0</v>
      </c>
      <c r="E71" s="82">
        <v>0</v>
      </c>
      <c r="F71" s="82">
        <v>5368.95</v>
      </c>
      <c r="G71" s="82">
        <v>0</v>
      </c>
      <c r="H71" s="91">
        <f t="shared" si="7"/>
        <v>0</v>
      </c>
      <c r="I71" s="85"/>
      <c r="J71" s="85"/>
      <c r="K71" s="86" t="str">
        <f t="shared" si="8"/>
        <v/>
      </c>
      <c r="L71" s="87" t="str">
        <f t="shared" si="9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10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2213.6799999999998</v>
      </c>
      <c r="D72" s="81">
        <v>0</v>
      </c>
      <c r="E72" s="82">
        <v>0</v>
      </c>
      <c r="F72" s="82">
        <v>5025.2700000000004</v>
      </c>
      <c r="G72" s="82">
        <v>0</v>
      </c>
      <c r="H72" s="91">
        <f t="shared" si="7"/>
        <v>0</v>
      </c>
      <c r="I72" s="85"/>
      <c r="J72" s="85"/>
      <c r="K72" s="86" t="str">
        <f t="shared" si="8"/>
        <v/>
      </c>
      <c r="L72" s="87" t="str">
        <f t="shared" si="9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10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2210.6799999999998</v>
      </c>
      <c r="D73" s="81">
        <v>0</v>
      </c>
      <c r="E73" s="82">
        <v>0</v>
      </c>
      <c r="F73" s="82">
        <v>5024.87</v>
      </c>
      <c r="G73" s="82">
        <v>0</v>
      </c>
      <c r="H73" s="91">
        <f t="shared" si="7"/>
        <v>0</v>
      </c>
      <c r="I73" s="85"/>
      <c r="J73" s="85"/>
      <c r="K73" s="86" t="str">
        <f t="shared" si="8"/>
        <v/>
      </c>
      <c r="L73" s="87" t="str">
        <f t="shared" si="9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10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2202.52</v>
      </c>
      <c r="D74" s="81">
        <v>0</v>
      </c>
      <c r="E74" s="82">
        <v>0</v>
      </c>
      <c r="F74" s="82">
        <v>5068.8500000000004</v>
      </c>
      <c r="G74" s="82">
        <v>0</v>
      </c>
      <c r="H74" s="91">
        <f t="shared" si="7"/>
        <v>0</v>
      </c>
      <c r="I74" s="85"/>
      <c r="J74" s="85"/>
      <c r="K74" s="86" t="str">
        <f t="shared" si="8"/>
        <v/>
      </c>
      <c r="L74" s="87" t="str">
        <f t="shared" si="9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10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2214.16</v>
      </c>
      <c r="D75" s="81">
        <v>0</v>
      </c>
      <c r="E75" s="82">
        <v>0</v>
      </c>
      <c r="F75" s="82">
        <v>5070.12</v>
      </c>
      <c r="G75" s="82">
        <v>0</v>
      </c>
      <c r="H75" s="91">
        <f t="shared" si="7"/>
        <v>0</v>
      </c>
      <c r="I75" s="85"/>
      <c r="J75" s="85"/>
      <c r="K75" s="86" t="str">
        <f t="shared" si="8"/>
        <v/>
      </c>
      <c r="L75" s="87" t="str">
        <f t="shared" si="9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10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2226.19</v>
      </c>
      <c r="D76" s="81">
        <v>0</v>
      </c>
      <c r="E76" s="82">
        <v>0</v>
      </c>
      <c r="F76" s="82">
        <v>5059.18</v>
      </c>
      <c r="G76" s="82">
        <v>0</v>
      </c>
      <c r="H76" s="91">
        <f t="shared" si="7"/>
        <v>0</v>
      </c>
      <c r="I76" s="85"/>
      <c r="J76" s="85"/>
      <c r="K76" s="86" t="str">
        <f t="shared" si="8"/>
        <v/>
      </c>
      <c r="L76" s="87" t="str">
        <f t="shared" si="9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10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2224.35</v>
      </c>
      <c r="D77" s="81">
        <v>0</v>
      </c>
      <c r="E77" s="82">
        <v>0</v>
      </c>
      <c r="F77" s="82">
        <v>5065.3500000000004</v>
      </c>
      <c r="G77" s="82">
        <v>0</v>
      </c>
      <c r="H77" s="91">
        <f t="shared" si="7"/>
        <v>0</v>
      </c>
      <c r="I77" s="85"/>
      <c r="J77" s="85"/>
      <c r="K77" s="86" t="str">
        <f t="shared" si="8"/>
        <v/>
      </c>
      <c r="L77" s="87" t="str">
        <f t="shared" si="9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10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2249.31</v>
      </c>
      <c r="D78" s="81">
        <v>0</v>
      </c>
      <c r="E78" s="82">
        <v>0</v>
      </c>
      <c r="F78" s="82">
        <v>5041.2700000000004</v>
      </c>
      <c r="G78" s="82">
        <v>0</v>
      </c>
      <c r="H78" s="91">
        <f t="shared" si="7"/>
        <v>0</v>
      </c>
      <c r="I78" s="85"/>
      <c r="J78" s="85"/>
      <c r="K78" s="86" t="str">
        <f t="shared" si="8"/>
        <v/>
      </c>
      <c r="L78" s="87" t="str">
        <f t="shared" si="9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0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2281.13</v>
      </c>
      <c r="D79" s="81">
        <v>0</v>
      </c>
      <c r="E79" s="82">
        <v>0</v>
      </c>
      <c r="F79" s="82">
        <v>5010.0600000000004</v>
      </c>
      <c r="G79" s="82">
        <v>0</v>
      </c>
      <c r="H79" s="91">
        <f t="shared" si="7"/>
        <v>0</v>
      </c>
      <c r="I79" s="85"/>
      <c r="J79" s="85"/>
      <c r="K79" s="86" t="str">
        <f t="shared" si="8"/>
        <v/>
      </c>
      <c r="L79" s="87" t="str">
        <f t="shared" si="9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0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2097.9299999999998</v>
      </c>
      <c r="D80" s="81">
        <v>0.28000000000000003</v>
      </c>
      <c r="E80" s="82">
        <v>0</v>
      </c>
      <c r="F80" s="82">
        <v>5240.88</v>
      </c>
      <c r="G80" s="82">
        <v>0</v>
      </c>
      <c r="H80" s="91">
        <f t="shared" si="7"/>
        <v>0</v>
      </c>
      <c r="I80" s="85"/>
      <c r="J80" s="85"/>
      <c r="K80" s="86" t="str">
        <f t="shared" si="8"/>
        <v/>
      </c>
      <c r="L80" s="87" t="str">
        <f t="shared" si="9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0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2105.94</v>
      </c>
      <c r="D81" s="28">
        <v>0</v>
      </c>
      <c r="E81" s="96">
        <v>0</v>
      </c>
      <c r="F81" s="97">
        <v>5214.0600000000004</v>
      </c>
      <c r="G81" s="82">
        <v>0</v>
      </c>
      <c r="H81" s="98">
        <f t="shared" si="7"/>
        <v>0</v>
      </c>
      <c r="I81" s="115"/>
      <c r="J81" s="85"/>
      <c r="K81" s="99" t="str">
        <f t="shared" si="8"/>
        <v/>
      </c>
      <c r="L81" s="87" t="str">
        <f t="shared" si="9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0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1">SUM(B58:B81)</f>
        <v>0</v>
      </c>
      <c r="C82" s="35">
        <f t="shared" si="11"/>
        <v>44435.25</v>
      </c>
      <c r="D82" s="35">
        <f t="shared" si="11"/>
        <v>60.06</v>
      </c>
      <c r="E82" s="35">
        <f t="shared" si="11"/>
        <v>0</v>
      </c>
      <c r="F82" s="101">
        <f t="shared" si="11"/>
        <v>149851.99000000002</v>
      </c>
      <c r="G82" s="35">
        <f t="shared" si="11"/>
        <v>0</v>
      </c>
      <c r="H82" s="102"/>
      <c r="I82" s="103"/>
      <c r="J82" s="104"/>
      <c r="K82" s="105" t="str">
        <f>IFERROR(AVERAGE(K58:K81),"")</f>
        <v/>
      </c>
      <c r="L82" s="40">
        <f t="shared" ref="L82:U82" si="12">SUM(L58:L81)</f>
        <v>0</v>
      </c>
      <c r="M82" s="40">
        <f t="shared" si="12"/>
        <v>0</v>
      </c>
      <c r="N82" s="39">
        <f t="shared" si="12"/>
        <v>0</v>
      </c>
      <c r="O82" s="39">
        <f t="shared" si="12"/>
        <v>0</v>
      </c>
      <c r="P82" s="39">
        <f t="shared" si="12"/>
        <v>0</v>
      </c>
      <c r="Q82" s="39">
        <f t="shared" si="12"/>
        <v>0</v>
      </c>
      <c r="R82" s="39">
        <f t="shared" si="12"/>
        <v>0</v>
      </c>
      <c r="S82" s="39">
        <f t="shared" si="12"/>
        <v>0</v>
      </c>
      <c r="T82" s="39">
        <f t="shared" si="12"/>
        <v>0</v>
      </c>
      <c r="U82" s="39">
        <f t="shared" si="12"/>
        <v>0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149851.99000000002</v>
      </c>
      <c r="J87" s="41"/>
      <c r="K87" s="62" t="s">
        <v>59</v>
      </c>
      <c r="L87" s="113">
        <v>8293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</v>
      </c>
      <c r="B88" s="57">
        <v>0</v>
      </c>
      <c r="C88" s="57">
        <v>1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3221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 t="str">
        <f>IFERROR(3412.14/K82,"")</f>
        <v/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K90:L90"/>
    <mergeCell ref="B91:B92"/>
    <mergeCell ref="C91:I92"/>
    <mergeCell ref="K91:L91"/>
    <mergeCell ref="K92:L92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A85:A86"/>
    <mergeCell ref="B85:B86"/>
    <mergeCell ref="C85:C86"/>
    <mergeCell ref="D85:D86"/>
    <mergeCell ref="H85:I8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H41:H42"/>
    <mergeCell ref="I41:I42"/>
    <mergeCell ref="K44:L44"/>
    <mergeCell ref="C45:I46"/>
    <mergeCell ref="K45:L45"/>
    <mergeCell ref="K46:L46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A39:A40"/>
    <mergeCell ref="B39:B40"/>
    <mergeCell ref="C39:C40"/>
    <mergeCell ref="D39:D40"/>
    <mergeCell ref="H39:I40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1:C1"/>
    <mergeCell ref="D1:U2"/>
    <mergeCell ref="V1:X4"/>
    <mergeCell ref="A2:C2"/>
    <mergeCell ref="A3:C3"/>
    <mergeCell ref="D3:U4"/>
    <mergeCell ref="A4:C4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5834-6F63-47D0-B50D-96AD7BA99A78}">
  <dimension ref="A1:Z109"/>
  <sheetViews>
    <sheetView topLeftCell="I1" zoomScale="85" zoomScaleNormal="85" workbookViewId="0">
      <selection activeCell="L87" sqref="L87:L88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16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86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0</v>
      </c>
      <c r="C12" s="28">
        <v>0</v>
      </c>
      <c r="D12" s="28">
        <v>1107.45</v>
      </c>
      <c r="E12" s="28">
        <v>0</v>
      </c>
      <c r="F12" s="28">
        <v>0</v>
      </c>
      <c r="G12" s="28">
        <f t="shared" ref="G12:G35" si="0">+E12+F12</f>
        <v>0</v>
      </c>
      <c r="H12" s="28">
        <v>4206.3100000000004</v>
      </c>
      <c r="I12" s="28">
        <v>0</v>
      </c>
      <c r="J12" s="112">
        <v>0</v>
      </c>
      <c r="K12" s="28">
        <f t="shared" ref="K12:K35" si="1">IF(J12=0,0,100*(G12-J12)/J12)</f>
        <v>0</v>
      </c>
      <c r="L12" s="28"/>
      <c r="M12" s="28" t="s">
        <v>99</v>
      </c>
      <c r="N12" s="28" t="str">
        <f t="shared" ref="N12:N35" si="2">IFERROR(V12*1000*2.2*$K$46/G12/1000,"")</f>
        <v/>
      </c>
      <c r="O12" s="28" t="str">
        <f t="shared" ref="O12:O35" si="3">IF(OR(K12&gt;5,K12&lt;-5),G12-J12,"")</f>
        <v/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f t="shared" ref="V12:V35" si="4">+SUM(P12:U12)</f>
        <v>0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0</v>
      </c>
      <c r="C13" s="28">
        <v>0</v>
      </c>
      <c r="D13" s="28">
        <v>1102.49</v>
      </c>
      <c r="E13" s="28">
        <v>0</v>
      </c>
      <c r="F13" s="28">
        <v>0</v>
      </c>
      <c r="G13" s="28">
        <f t="shared" si="0"/>
        <v>0</v>
      </c>
      <c r="H13" s="28">
        <v>4162.6400000000003</v>
      </c>
      <c r="I13" s="28">
        <v>0</v>
      </c>
      <c r="J13" s="112">
        <v>0</v>
      </c>
      <c r="K13" s="28">
        <f t="shared" si="1"/>
        <v>0</v>
      </c>
      <c r="L13" s="28"/>
      <c r="M13" s="28" t="s">
        <v>99</v>
      </c>
      <c r="N13" s="28" t="str">
        <f t="shared" si="2"/>
        <v/>
      </c>
      <c r="O13" s="28" t="str">
        <f t="shared" si="3"/>
        <v/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f t="shared" si="4"/>
        <v>0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0</v>
      </c>
      <c r="C14" s="28">
        <v>0</v>
      </c>
      <c r="D14" s="28">
        <v>1095.06</v>
      </c>
      <c r="E14" s="28">
        <v>0</v>
      </c>
      <c r="F14" s="28">
        <v>0</v>
      </c>
      <c r="G14" s="28">
        <f t="shared" si="0"/>
        <v>0</v>
      </c>
      <c r="H14" s="28">
        <v>4144.7299999999996</v>
      </c>
      <c r="I14" s="28">
        <v>0</v>
      </c>
      <c r="J14" s="112">
        <v>0</v>
      </c>
      <c r="K14" s="28">
        <f t="shared" si="1"/>
        <v>0</v>
      </c>
      <c r="L14" s="28"/>
      <c r="M14" s="28" t="s">
        <v>99</v>
      </c>
      <c r="N14" s="28" t="str">
        <f t="shared" si="2"/>
        <v/>
      </c>
      <c r="O14" s="28" t="str">
        <f t="shared" si="3"/>
        <v/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f t="shared" si="4"/>
        <v>0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0</v>
      </c>
      <c r="C15" s="28">
        <v>0</v>
      </c>
      <c r="D15" s="28">
        <v>1079.75</v>
      </c>
      <c r="E15" s="28">
        <v>0</v>
      </c>
      <c r="F15" s="28">
        <v>0</v>
      </c>
      <c r="G15" s="28">
        <f t="shared" si="0"/>
        <v>0</v>
      </c>
      <c r="H15" s="28">
        <v>4020.66</v>
      </c>
      <c r="I15" s="28">
        <v>0</v>
      </c>
      <c r="J15" s="112">
        <v>0</v>
      </c>
      <c r="K15" s="28">
        <f t="shared" si="1"/>
        <v>0</v>
      </c>
      <c r="L15" s="28"/>
      <c r="M15" s="28" t="s">
        <v>99</v>
      </c>
      <c r="N15" s="28" t="str">
        <f t="shared" si="2"/>
        <v/>
      </c>
      <c r="O15" s="28" t="str">
        <f t="shared" si="3"/>
        <v/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f t="shared" si="4"/>
        <v>0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0</v>
      </c>
      <c r="C16" s="28">
        <v>0</v>
      </c>
      <c r="D16" s="28">
        <v>1082.8</v>
      </c>
      <c r="E16" s="28">
        <v>0</v>
      </c>
      <c r="F16" s="28">
        <v>0</v>
      </c>
      <c r="G16" s="28">
        <f t="shared" si="0"/>
        <v>0</v>
      </c>
      <c r="H16" s="28">
        <v>3980.38</v>
      </c>
      <c r="I16" s="28">
        <v>0</v>
      </c>
      <c r="J16" s="112">
        <v>0</v>
      </c>
      <c r="K16" s="28">
        <f t="shared" si="1"/>
        <v>0</v>
      </c>
      <c r="L16" s="28"/>
      <c r="M16" s="28" t="s">
        <v>99</v>
      </c>
      <c r="N16" s="28" t="str">
        <f t="shared" si="2"/>
        <v/>
      </c>
      <c r="O16" s="28" t="str">
        <f t="shared" si="3"/>
        <v/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f t="shared" si="4"/>
        <v>0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0</v>
      </c>
      <c r="C17" s="28">
        <v>0</v>
      </c>
      <c r="D17" s="28">
        <v>1569.68</v>
      </c>
      <c r="E17" s="28">
        <v>0</v>
      </c>
      <c r="F17" s="28">
        <v>0</v>
      </c>
      <c r="G17" s="28">
        <f t="shared" si="0"/>
        <v>0</v>
      </c>
      <c r="H17" s="28">
        <v>6588.68</v>
      </c>
      <c r="I17" s="28">
        <v>0</v>
      </c>
      <c r="J17" s="112">
        <v>0</v>
      </c>
      <c r="K17" s="28">
        <f t="shared" si="1"/>
        <v>0</v>
      </c>
      <c r="L17" s="28"/>
      <c r="M17" s="28" t="s">
        <v>99</v>
      </c>
      <c r="N17" s="28" t="str">
        <f t="shared" si="2"/>
        <v/>
      </c>
      <c r="O17" s="28" t="str">
        <f t="shared" si="3"/>
        <v/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f t="shared" si="4"/>
        <v>0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0</v>
      </c>
      <c r="C18" s="28">
        <v>0</v>
      </c>
      <c r="D18" s="28">
        <v>1491.8</v>
      </c>
      <c r="E18" s="28">
        <v>0</v>
      </c>
      <c r="F18" s="28">
        <v>0</v>
      </c>
      <c r="G18" s="28">
        <f t="shared" si="0"/>
        <v>0</v>
      </c>
      <c r="H18" s="28">
        <v>6752.38</v>
      </c>
      <c r="I18" s="28">
        <v>0</v>
      </c>
      <c r="J18" s="112">
        <v>0</v>
      </c>
      <c r="K18" s="28">
        <f t="shared" si="1"/>
        <v>0</v>
      </c>
      <c r="L18" s="28"/>
      <c r="M18" s="28" t="s">
        <v>99</v>
      </c>
      <c r="N18" s="28" t="str">
        <f t="shared" si="2"/>
        <v/>
      </c>
      <c r="O18" s="28" t="str">
        <f t="shared" si="3"/>
        <v/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f t="shared" si="4"/>
        <v>0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0</v>
      </c>
      <c r="C19" s="28">
        <v>0</v>
      </c>
      <c r="D19" s="28">
        <v>1532.29</v>
      </c>
      <c r="E19" s="28">
        <v>0</v>
      </c>
      <c r="F19" s="28">
        <v>0</v>
      </c>
      <c r="G19" s="28">
        <f t="shared" si="0"/>
        <v>0</v>
      </c>
      <c r="H19" s="28">
        <v>6918.2</v>
      </c>
      <c r="I19" s="28">
        <v>0</v>
      </c>
      <c r="J19" s="112">
        <v>0</v>
      </c>
      <c r="K19" s="28">
        <f t="shared" si="1"/>
        <v>0</v>
      </c>
      <c r="L19" s="28"/>
      <c r="M19" s="28" t="s">
        <v>99</v>
      </c>
      <c r="N19" s="28" t="str">
        <f t="shared" si="2"/>
        <v/>
      </c>
      <c r="O19" s="28" t="str">
        <f t="shared" si="3"/>
        <v/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f t="shared" si="4"/>
        <v>0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0</v>
      </c>
      <c r="C20" s="28">
        <v>0</v>
      </c>
      <c r="D20" s="28">
        <v>4707.68</v>
      </c>
      <c r="E20" s="28">
        <v>0</v>
      </c>
      <c r="F20" s="28">
        <v>0</v>
      </c>
      <c r="G20" s="28">
        <f t="shared" si="0"/>
        <v>0</v>
      </c>
      <c r="H20" s="28">
        <v>10241.209999999999</v>
      </c>
      <c r="I20" s="28">
        <v>0</v>
      </c>
      <c r="J20" s="112">
        <v>0</v>
      </c>
      <c r="K20" s="28">
        <f t="shared" si="1"/>
        <v>0</v>
      </c>
      <c r="L20" s="28"/>
      <c r="M20" s="28" t="s">
        <v>99</v>
      </c>
      <c r="N20" s="28" t="str">
        <f t="shared" si="2"/>
        <v/>
      </c>
      <c r="O20" s="28" t="str">
        <f t="shared" si="3"/>
        <v/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f t="shared" si="4"/>
        <v>0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0</v>
      </c>
      <c r="C21" s="28">
        <v>0</v>
      </c>
      <c r="D21" s="28">
        <v>5698.81</v>
      </c>
      <c r="E21" s="28">
        <v>0</v>
      </c>
      <c r="F21" s="28">
        <v>0</v>
      </c>
      <c r="G21" s="28">
        <f t="shared" si="0"/>
        <v>0</v>
      </c>
      <c r="H21" s="28">
        <v>11468.28</v>
      </c>
      <c r="I21" s="28">
        <v>0</v>
      </c>
      <c r="J21" s="112">
        <v>0</v>
      </c>
      <c r="K21" s="28">
        <f t="shared" si="1"/>
        <v>0</v>
      </c>
      <c r="L21" s="28"/>
      <c r="M21" s="28" t="s">
        <v>99</v>
      </c>
      <c r="N21" s="28" t="str">
        <f t="shared" si="2"/>
        <v/>
      </c>
      <c r="O21" s="28" t="str">
        <f t="shared" si="3"/>
        <v/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f t="shared" si="4"/>
        <v>0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0</v>
      </c>
      <c r="C22" s="28">
        <v>0</v>
      </c>
      <c r="D22" s="28">
        <v>5808.66</v>
      </c>
      <c r="E22" s="28">
        <v>0</v>
      </c>
      <c r="F22" s="28">
        <v>0</v>
      </c>
      <c r="G22" s="28">
        <f t="shared" si="0"/>
        <v>0</v>
      </c>
      <c r="H22" s="28">
        <v>12143.58</v>
      </c>
      <c r="I22" s="28">
        <v>0</v>
      </c>
      <c r="J22" s="112">
        <v>0</v>
      </c>
      <c r="K22" s="28">
        <f t="shared" si="1"/>
        <v>0</v>
      </c>
      <c r="L22" s="28"/>
      <c r="M22" s="28" t="s">
        <v>99</v>
      </c>
      <c r="N22" s="28" t="str">
        <f t="shared" si="2"/>
        <v/>
      </c>
      <c r="O22" s="28" t="str">
        <f t="shared" si="3"/>
        <v/>
      </c>
      <c r="P22" s="28">
        <v>0</v>
      </c>
      <c r="Q22" s="28">
        <v>1.65</v>
      </c>
      <c r="R22" s="28">
        <v>1.03</v>
      </c>
      <c r="S22" s="28">
        <v>0.78</v>
      </c>
      <c r="T22" s="28">
        <v>1.35</v>
      </c>
      <c r="U22" s="28">
        <v>0</v>
      </c>
      <c r="V22" s="28">
        <f t="shared" si="4"/>
        <v>4.8100000000000005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0</v>
      </c>
      <c r="C23" s="28">
        <v>27.98</v>
      </c>
      <c r="D23" s="28">
        <v>5915.3499999999995</v>
      </c>
      <c r="E23" s="28">
        <v>0</v>
      </c>
      <c r="F23" s="28">
        <v>0</v>
      </c>
      <c r="G23" s="28">
        <f t="shared" si="0"/>
        <v>0</v>
      </c>
      <c r="H23" s="28">
        <v>12396.89</v>
      </c>
      <c r="I23" s="28">
        <v>638.29999999999995</v>
      </c>
      <c r="J23" s="112">
        <v>0</v>
      </c>
      <c r="K23" s="28">
        <f t="shared" si="1"/>
        <v>0</v>
      </c>
      <c r="L23" s="28"/>
      <c r="M23" s="28" t="s">
        <v>99</v>
      </c>
      <c r="N23" s="28" t="str">
        <f t="shared" si="2"/>
        <v/>
      </c>
      <c r="O23" s="28" t="str">
        <f t="shared" si="3"/>
        <v/>
      </c>
      <c r="P23" s="28">
        <v>2.31</v>
      </c>
      <c r="Q23" s="28">
        <v>2.86</v>
      </c>
      <c r="R23" s="28">
        <v>4.22</v>
      </c>
      <c r="S23" s="28">
        <v>4.34</v>
      </c>
      <c r="T23" s="28">
        <v>3.42</v>
      </c>
      <c r="U23" s="28">
        <v>2.14</v>
      </c>
      <c r="V23" s="28">
        <f t="shared" si="4"/>
        <v>19.29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0</v>
      </c>
      <c r="C24" s="28">
        <v>0</v>
      </c>
      <c r="D24" s="28">
        <v>5144.6000000000004</v>
      </c>
      <c r="E24" s="28">
        <v>0</v>
      </c>
      <c r="F24" s="28">
        <v>0</v>
      </c>
      <c r="G24" s="28">
        <f t="shared" si="0"/>
        <v>0</v>
      </c>
      <c r="H24" s="28">
        <v>6678.41</v>
      </c>
      <c r="I24" s="28">
        <v>6606.41</v>
      </c>
      <c r="J24" s="112">
        <v>0</v>
      </c>
      <c r="K24" s="28">
        <f t="shared" si="1"/>
        <v>0</v>
      </c>
      <c r="L24" s="28"/>
      <c r="M24" s="28" t="s">
        <v>99</v>
      </c>
      <c r="N24" s="28" t="str">
        <f t="shared" si="2"/>
        <v/>
      </c>
      <c r="O24" s="28" t="str">
        <f t="shared" si="3"/>
        <v/>
      </c>
      <c r="P24" s="28">
        <v>3.66</v>
      </c>
      <c r="Q24" s="28">
        <v>3.11</v>
      </c>
      <c r="R24" s="28">
        <v>4.49</v>
      </c>
      <c r="S24" s="28">
        <v>4.9000000000000004</v>
      </c>
      <c r="T24" s="28">
        <v>6.13</v>
      </c>
      <c r="U24" s="28">
        <v>4.6100000000000003</v>
      </c>
      <c r="V24" s="28">
        <f t="shared" si="4"/>
        <v>26.9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29290</v>
      </c>
      <c r="C25" s="28">
        <v>14371.900000000001</v>
      </c>
      <c r="D25" s="28">
        <v>215.85000000000002</v>
      </c>
      <c r="E25" s="28">
        <v>8.2200000000000006</v>
      </c>
      <c r="F25" s="28">
        <v>8.39</v>
      </c>
      <c r="G25" s="28">
        <f t="shared" si="0"/>
        <v>16.61</v>
      </c>
      <c r="H25" s="28">
        <v>420.62</v>
      </c>
      <c r="I25" s="28">
        <v>414.57</v>
      </c>
      <c r="J25" s="112">
        <v>0</v>
      </c>
      <c r="K25" s="28">
        <f t="shared" si="1"/>
        <v>0</v>
      </c>
      <c r="L25" s="28"/>
      <c r="M25" s="28"/>
      <c r="N25" s="28">
        <f t="shared" si="2"/>
        <v>29129.819867549671</v>
      </c>
      <c r="O25" s="28" t="str">
        <f t="shared" si="3"/>
        <v/>
      </c>
      <c r="P25" s="28">
        <v>4.49</v>
      </c>
      <c r="Q25" s="28">
        <v>1.59</v>
      </c>
      <c r="R25" s="28">
        <v>5.09</v>
      </c>
      <c r="S25" s="28">
        <v>5.2</v>
      </c>
      <c r="T25" s="28">
        <v>6.21</v>
      </c>
      <c r="U25" s="28">
        <v>4.13</v>
      </c>
      <c r="V25" s="28">
        <f t="shared" si="4"/>
        <v>26.71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43740</v>
      </c>
      <c r="C26" s="28">
        <v>13135.19</v>
      </c>
      <c r="D26" s="28">
        <v>0</v>
      </c>
      <c r="E26" s="28">
        <v>15.22</v>
      </c>
      <c r="F26" s="28">
        <v>15.45</v>
      </c>
      <c r="G26" s="28">
        <f t="shared" si="0"/>
        <v>30.67</v>
      </c>
      <c r="H26" s="28">
        <v>0</v>
      </c>
      <c r="I26" s="28">
        <v>0</v>
      </c>
      <c r="J26" s="112">
        <v>30</v>
      </c>
      <c r="K26" s="28">
        <f t="shared" si="1"/>
        <v>2.2333333333333392</v>
      </c>
      <c r="L26" s="28"/>
      <c r="M26" s="28"/>
      <c r="N26" s="28">
        <f t="shared" si="2"/>
        <v>20335.590609716335</v>
      </c>
      <c r="O26" s="28" t="str">
        <f t="shared" si="3"/>
        <v/>
      </c>
      <c r="P26" s="28">
        <v>5.28</v>
      </c>
      <c r="Q26" s="28">
        <v>5.77</v>
      </c>
      <c r="R26" s="28">
        <v>6.55</v>
      </c>
      <c r="S26" s="28">
        <v>6.2</v>
      </c>
      <c r="T26" s="28">
        <v>6.92</v>
      </c>
      <c r="U26" s="28">
        <v>3.71</v>
      </c>
      <c r="V26" s="28">
        <f t="shared" si="4"/>
        <v>34.43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64820</v>
      </c>
      <c r="C27" s="28">
        <v>13154.869999999999</v>
      </c>
      <c r="D27" s="28">
        <v>0</v>
      </c>
      <c r="E27" s="28">
        <v>25.5</v>
      </c>
      <c r="F27" s="28">
        <v>25.81</v>
      </c>
      <c r="G27" s="28">
        <f t="shared" si="0"/>
        <v>51.31</v>
      </c>
      <c r="H27" s="28">
        <v>0</v>
      </c>
      <c r="I27" s="28">
        <v>0</v>
      </c>
      <c r="J27" s="112">
        <v>50</v>
      </c>
      <c r="K27" s="28">
        <f t="shared" si="1"/>
        <v>2.6200000000000045</v>
      </c>
      <c r="L27" s="28"/>
      <c r="M27" s="28"/>
      <c r="N27" s="28">
        <f t="shared" si="2"/>
        <v>15918.852699278896</v>
      </c>
      <c r="O27" s="28" t="str">
        <f t="shared" si="3"/>
        <v/>
      </c>
      <c r="P27" s="28">
        <v>6.47</v>
      </c>
      <c r="Q27" s="28">
        <v>7.99</v>
      </c>
      <c r="R27" s="28">
        <v>8.76</v>
      </c>
      <c r="S27" s="28">
        <v>8.3800000000000008</v>
      </c>
      <c r="T27" s="28">
        <v>9.1300000000000008</v>
      </c>
      <c r="U27" s="28">
        <v>4.3600000000000003</v>
      </c>
      <c r="V27" s="28">
        <f t="shared" si="4"/>
        <v>45.09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88430</v>
      </c>
      <c r="C28" s="28">
        <v>8843.7900000000009</v>
      </c>
      <c r="D28" s="28">
        <v>0</v>
      </c>
      <c r="E28" s="28">
        <v>37.11</v>
      </c>
      <c r="F28" s="28">
        <v>37.51</v>
      </c>
      <c r="G28" s="28">
        <f t="shared" si="0"/>
        <v>74.62</v>
      </c>
      <c r="H28" s="28">
        <v>0</v>
      </c>
      <c r="I28" s="28">
        <v>0</v>
      </c>
      <c r="J28" s="112">
        <v>75</v>
      </c>
      <c r="K28" s="28">
        <f t="shared" si="1"/>
        <v>-0.5066666666666606</v>
      </c>
      <c r="L28" s="28"/>
      <c r="M28" s="28"/>
      <c r="N28" s="28">
        <f t="shared" si="2"/>
        <v>12429.345483784509</v>
      </c>
      <c r="O28" s="28" t="str">
        <f t="shared" si="3"/>
        <v/>
      </c>
      <c r="P28" s="28">
        <v>6.74</v>
      </c>
      <c r="Q28" s="28">
        <v>9.39</v>
      </c>
      <c r="R28" s="28">
        <v>10.15</v>
      </c>
      <c r="S28" s="28">
        <v>9.7899999999999991</v>
      </c>
      <c r="T28" s="28">
        <v>10.53</v>
      </c>
      <c r="U28" s="28">
        <v>4.5999999999999996</v>
      </c>
      <c r="V28" s="28">
        <f t="shared" si="4"/>
        <v>51.2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130910</v>
      </c>
      <c r="C29" s="28">
        <v>678.72</v>
      </c>
      <c r="D29" s="28">
        <v>2356.92</v>
      </c>
      <c r="E29" s="28">
        <v>44.76</v>
      </c>
      <c r="F29" s="28">
        <v>45.19</v>
      </c>
      <c r="G29" s="28">
        <f t="shared" si="0"/>
        <v>89.949999999999989</v>
      </c>
      <c r="H29" s="28">
        <v>0</v>
      </c>
      <c r="I29" s="28">
        <v>0</v>
      </c>
      <c r="J29" s="112">
        <v>90</v>
      </c>
      <c r="K29" s="28">
        <f t="shared" si="1"/>
        <v>-5.5555555555568188E-2</v>
      </c>
      <c r="L29" s="28"/>
      <c r="M29" s="28"/>
      <c r="N29" s="28">
        <f t="shared" si="2"/>
        <v>11295.82136742635</v>
      </c>
      <c r="O29" s="28" t="str">
        <f t="shared" si="3"/>
        <v/>
      </c>
      <c r="P29" s="28">
        <v>7.3</v>
      </c>
      <c r="Q29" s="28">
        <v>10.38</v>
      </c>
      <c r="R29" s="28">
        <v>11.15</v>
      </c>
      <c r="S29" s="28">
        <v>10.78</v>
      </c>
      <c r="T29" s="28">
        <v>11.52</v>
      </c>
      <c r="U29" s="28">
        <v>4.96</v>
      </c>
      <c r="V29" s="28">
        <f t="shared" si="4"/>
        <v>56.089999999999996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106900</v>
      </c>
      <c r="C30" s="28">
        <v>3136.6899999999996</v>
      </c>
      <c r="D30" s="28">
        <v>99.460000000000008</v>
      </c>
      <c r="E30" s="28">
        <v>46.11</v>
      </c>
      <c r="F30" s="28">
        <v>46.58</v>
      </c>
      <c r="G30" s="28">
        <f t="shared" si="0"/>
        <v>92.69</v>
      </c>
      <c r="H30" s="28">
        <v>0</v>
      </c>
      <c r="I30" s="28">
        <v>0</v>
      </c>
      <c r="J30" s="112">
        <v>90</v>
      </c>
      <c r="K30" s="28">
        <f t="shared" si="1"/>
        <v>2.9888888888888863</v>
      </c>
      <c r="L30" s="28"/>
      <c r="M30" s="28"/>
      <c r="N30" s="28">
        <f t="shared" si="2"/>
        <v>11083.075930521094</v>
      </c>
      <c r="O30" s="28" t="str">
        <f t="shared" si="3"/>
        <v/>
      </c>
      <c r="P30" s="28">
        <v>7.47</v>
      </c>
      <c r="Q30" s="28">
        <v>10.48</v>
      </c>
      <c r="R30" s="28">
        <v>11.24</v>
      </c>
      <c r="S30" s="28">
        <v>10.88</v>
      </c>
      <c r="T30" s="28">
        <v>11.63</v>
      </c>
      <c r="U30" s="28">
        <v>5.01</v>
      </c>
      <c r="V30" s="28">
        <f t="shared" si="4"/>
        <v>56.71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133260</v>
      </c>
      <c r="C31" s="28">
        <v>1018.84</v>
      </c>
      <c r="D31" s="28">
        <v>973.56999999999994</v>
      </c>
      <c r="E31" s="28">
        <v>58.46</v>
      </c>
      <c r="F31" s="28">
        <v>59.02</v>
      </c>
      <c r="G31" s="28">
        <f t="shared" si="0"/>
        <v>117.48</v>
      </c>
      <c r="H31" s="28">
        <v>0</v>
      </c>
      <c r="I31" s="28">
        <v>0</v>
      </c>
      <c r="J31" s="112">
        <v>115</v>
      </c>
      <c r="K31" s="28">
        <f t="shared" si="1"/>
        <v>2.1565217391304383</v>
      </c>
      <c r="L31" s="28"/>
      <c r="M31" s="28"/>
      <c r="N31" s="28">
        <f t="shared" si="2"/>
        <v>10522.250187265921</v>
      </c>
      <c r="O31" s="28" t="str">
        <f t="shared" si="3"/>
        <v/>
      </c>
      <c r="P31" s="28">
        <v>8.8800000000000008</v>
      </c>
      <c r="Q31" s="28">
        <v>12.98</v>
      </c>
      <c r="R31" s="28">
        <v>13.75</v>
      </c>
      <c r="S31" s="28">
        <v>13.38</v>
      </c>
      <c r="T31" s="28">
        <v>14.13</v>
      </c>
      <c r="U31" s="28">
        <v>5.12</v>
      </c>
      <c r="V31" s="28">
        <f t="shared" si="4"/>
        <v>68.240000000000009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162960</v>
      </c>
      <c r="C32" s="28">
        <v>4.2699999999999996</v>
      </c>
      <c r="D32" s="28">
        <v>3690.2200000000003</v>
      </c>
      <c r="E32" s="28">
        <v>72.28</v>
      </c>
      <c r="F32" s="28">
        <v>72.95</v>
      </c>
      <c r="G32" s="28">
        <f t="shared" si="0"/>
        <v>145.23000000000002</v>
      </c>
      <c r="H32" s="28">
        <v>0</v>
      </c>
      <c r="I32" s="28">
        <v>0</v>
      </c>
      <c r="J32" s="112">
        <v>145</v>
      </c>
      <c r="K32" s="28">
        <f t="shared" si="1"/>
        <v>0.15862068965518497</v>
      </c>
      <c r="L32" s="28"/>
      <c r="M32" s="28"/>
      <c r="N32" s="28">
        <f t="shared" si="2"/>
        <v>9964.8238793637647</v>
      </c>
      <c r="O32" s="28" t="str">
        <f t="shared" si="3"/>
        <v/>
      </c>
      <c r="P32" s="28">
        <v>9.5399999999999991</v>
      </c>
      <c r="Q32" s="28">
        <v>15.25</v>
      </c>
      <c r="R32" s="28">
        <v>16.579999999999998</v>
      </c>
      <c r="S32" s="28">
        <v>16.64</v>
      </c>
      <c r="T32" s="28">
        <v>17.28</v>
      </c>
      <c r="U32" s="28">
        <v>4.5999999999999996</v>
      </c>
      <c r="V32" s="28">
        <f t="shared" si="4"/>
        <v>79.889999999999986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177330</v>
      </c>
      <c r="C33" s="28">
        <v>0</v>
      </c>
      <c r="D33" s="28">
        <v>5381</v>
      </c>
      <c r="E33" s="28">
        <v>79.27</v>
      </c>
      <c r="F33" s="28">
        <v>80.010000000000005</v>
      </c>
      <c r="G33" s="28">
        <f t="shared" si="0"/>
        <v>159.28</v>
      </c>
      <c r="H33" s="28">
        <v>0</v>
      </c>
      <c r="I33" s="28">
        <v>0</v>
      </c>
      <c r="J33" s="112">
        <v>164</v>
      </c>
      <c r="K33" s="28">
        <f t="shared" si="1"/>
        <v>-2.8780487804878043</v>
      </c>
      <c r="L33" s="28"/>
      <c r="M33" s="28"/>
      <c r="N33" s="28">
        <f t="shared" si="2"/>
        <v>9498.6696132596717</v>
      </c>
      <c r="O33" s="28" t="str">
        <f t="shared" si="3"/>
        <v/>
      </c>
      <c r="P33" s="28">
        <v>9.16</v>
      </c>
      <c r="Q33" s="28">
        <v>11.33</v>
      </c>
      <c r="R33" s="28">
        <v>18.579999999999998</v>
      </c>
      <c r="S33" s="28">
        <v>20.21</v>
      </c>
      <c r="T33" s="28">
        <v>20.399999999999999</v>
      </c>
      <c r="U33" s="28">
        <v>3.84</v>
      </c>
      <c r="V33" s="28">
        <f t="shared" si="4"/>
        <v>83.52000000000001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176440</v>
      </c>
      <c r="C34" s="28">
        <v>2.62</v>
      </c>
      <c r="D34" s="28">
        <v>4653.49</v>
      </c>
      <c r="E34" s="28">
        <v>78.849999999999994</v>
      </c>
      <c r="F34" s="28">
        <v>79.59</v>
      </c>
      <c r="G34" s="28">
        <f t="shared" si="0"/>
        <v>158.44</v>
      </c>
      <c r="H34" s="28">
        <v>0</v>
      </c>
      <c r="I34" s="28">
        <v>0</v>
      </c>
      <c r="J34" s="112">
        <v>164</v>
      </c>
      <c r="K34" s="28">
        <f t="shared" si="1"/>
        <v>-3.3902439024390256</v>
      </c>
      <c r="L34" s="28"/>
      <c r="M34" s="28"/>
      <c r="N34" s="28">
        <f t="shared" si="2"/>
        <v>9531.8787932340292</v>
      </c>
      <c r="O34" s="28" t="str">
        <f t="shared" si="3"/>
        <v/>
      </c>
      <c r="P34" s="28">
        <v>9.01</v>
      </c>
      <c r="Q34" s="28">
        <v>11</v>
      </c>
      <c r="R34" s="28">
        <v>18.649999999999999</v>
      </c>
      <c r="S34" s="28">
        <v>19.79</v>
      </c>
      <c r="T34" s="28">
        <v>19.79</v>
      </c>
      <c r="U34" s="28">
        <v>5.13</v>
      </c>
      <c r="V34" s="28">
        <f t="shared" si="4"/>
        <v>83.36999999999999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176120</v>
      </c>
      <c r="C35" s="28">
        <v>0.18000000000000002</v>
      </c>
      <c r="D35" s="28">
        <v>9016.25</v>
      </c>
      <c r="E35" s="28">
        <v>78.69</v>
      </c>
      <c r="F35" s="28">
        <v>79.400000000000006</v>
      </c>
      <c r="G35" s="28">
        <f t="shared" si="0"/>
        <v>158.09</v>
      </c>
      <c r="H35" s="28">
        <v>0</v>
      </c>
      <c r="I35" s="28">
        <v>0</v>
      </c>
      <c r="J35" s="112">
        <v>164</v>
      </c>
      <c r="K35" s="116">
        <f t="shared" si="1"/>
        <v>-3.6036585365853639</v>
      </c>
      <c r="L35" s="28"/>
      <c r="M35" s="28"/>
      <c r="N35" s="28">
        <f t="shared" si="2"/>
        <v>9549.5441330887497</v>
      </c>
      <c r="O35" s="28" t="str">
        <f t="shared" si="3"/>
        <v/>
      </c>
      <c r="P35" s="28">
        <v>8.76</v>
      </c>
      <c r="Q35" s="28">
        <v>11.04</v>
      </c>
      <c r="R35" s="28">
        <v>18.68</v>
      </c>
      <c r="S35" s="28">
        <v>19.84</v>
      </c>
      <c r="T35" s="28">
        <v>19.84</v>
      </c>
      <c r="U35" s="28">
        <v>5.18</v>
      </c>
      <c r="V35" s="28">
        <f t="shared" si="4"/>
        <v>83.34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1290200</v>
      </c>
      <c r="C36" s="35">
        <f t="shared" ref="C36:J36" si="5">SUM(C12:C35)</f>
        <v>54375.05</v>
      </c>
      <c r="D36" s="35">
        <f t="shared" si="5"/>
        <v>63723.179999999993</v>
      </c>
      <c r="E36" s="35">
        <f t="shared" si="5"/>
        <v>544.47</v>
      </c>
      <c r="F36" s="35">
        <f t="shared" si="5"/>
        <v>549.9</v>
      </c>
      <c r="G36" s="35">
        <f t="shared" si="5"/>
        <v>1094.3699999999999</v>
      </c>
      <c r="H36" s="35">
        <f t="shared" si="5"/>
        <v>94122.969999999987</v>
      </c>
      <c r="I36" s="35">
        <f t="shared" si="5"/>
        <v>7659.28</v>
      </c>
      <c r="J36" s="35">
        <f t="shared" si="5"/>
        <v>1087</v>
      </c>
      <c r="K36" s="36"/>
      <c r="L36" s="37"/>
      <c r="M36" s="38"/>
      <c r="N36" s="35">
        <f>IFERROR(AVERAGE(N12:N35),"")</f>
        <v>13569.061142226274</v>
      </c>
      <c r="O36" s="39">
        <f t="shared" ref="O36:U36" si="6">SUM(O12:O35)</f>
        <v>0</v>
      </c>
      <c r="P36" s="39">
        <f t="shared" si="6"/>
        <v>89.070000000000007</v>
      </c>
      <c r="Q36" s="39">
        <f t="shared" si="6"/>
        <v>114.82</v>
      </c>
      <c r="R36" s="39">
        <f t="shared" si="6"/>
        <v>148.92000000000002</v>
      </c>
      <c r="S36" s="39">
        <f t="shared" si="6"/>
        <v>151.10999999999999</v>
      </c>
      <c r="T36" s="39">
        <f t="shared" si="6"/>
        <v>158.28</v>
      </c>
      <c r="U36" s="39">
        <f t="shared" si="6"/>
        <v>57.39</v>
      </c>
      <c r="V36" s="39">
        <f>SUM(V12:V35)</f>
        <v>719.59</v>
      </c>
      <c r="W36" s="40">
        <f>SUM(W12:W35)</f>
        <v>0</v>
      </c>
      <c r="X36" s="40">
        <v>3430.48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X36</f>
        <v>3430.48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101782.24999999999</v>
      </c>
      <c r="J41" s="41"/>
      <c r="K41" s="13" t="s">
        <v>59</v>
      </c>
      <c r="L41" s="113">
        <v>271600.59999996424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0.45833333333333331</v>
      </c>
      <c r="B42" s="57">
        <v>0</v>
      </c>
      <c r="C42" s="57">
        <v>0.54166666666666663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124690.79000000656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>
        <f>IFERROR(3412.14/N36,"")</f>
        <v>0.25146470815004157</v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16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Omar E. Fedullo Rueda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2118.85</v>
      </c>
      <c r="D58" s="81">
        <v>0</v>
      </c>
      <c r="E58" s="82">
        <v>0</v>
      </c>
      <c r="F58" s="83">
        <v>5185.3500000000004</v>
      </c>
      <c r="G58" s="82">
        <v>0</v>
      </c>
      <c r="H58" s="84">
        <f t="shared" ref="H58:H81" si="7">IF(G58=0,0,100*(E58-G58)/G58)</f>
        <v>0</v>
      </c>
      <c r="I58" s="85"/>
      <c r="J58" s="85"/>
      <c r="K58" s="86" t="str">
        <f t="shared" ref="K58:K81" si="8">IFERROR(U58*1000*2.2*$K$92/E58/1000,"")</f>
        <v/>
      </c>
      <c r="L58" s="87"/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2126.15</v>
      </c>
      <c r="D59" s="81">
        <v>0</v>
      </c>
      <c r="E59" s="82">
        <v>0</v>
      </c>
      <c r="F59" s="82">
        <v>5178.41</v>
      </c>
      <c r="G59" s="82">
        <v>0</v>
      </c>
      <c r="H59" s="91">
        <f t="shared" si="7"/>
        <v>0</v>
      </c>
      <c r="I59" s="85"/>
      <c r="J59" s="85"/>
      <c r="K59" s="86" t="str">
        <f t="shared" si="8"/>
        <v/>
      </c>
      <c r="L59" s="87" t="str">
        <f t="shared" ref="L59:L81" si="9">IF(OR(H59&gt;5,H59&lt;-5),E59-G59,"")</f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10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2138.7600000000002</v>
      </c>
      <c r="D60" s="81">
        <v>0</v>
      </c>
      <c r="E60" s="82">
        <v>0</v>
      </c>
      <c r="F60" s="82">
        <v>5139.6400000000003</v>
      </c>
      <c r="G60" s="82">
        <v>0</v>
      </c>
      <c r="H60" s="91">
        <f t="shared" si="7"/>
        <v>0</v>
      </c>
      <c r="I60" s="85"/>
      <c r="J60" s="85"/>
      <c r="K60" s="86" t="str">
        <f t="shared" si="8"/>
        <v/>
      </c>
      <c r="L60" s="87" t="str">
        <f t="shared" si="9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10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2149.75</v>
      </c>
      <c r="D61" s="81">
        <v>0</v>
      </c>
      <c r="E61" s="82">
        <v>0</v>
      </c>
      <c r="F61" s="82">
        <v>5138.53</v>
      </c>
      <c r="G61" s="82">
        <v>0</v>
      </c>
      <c r="H61" s="91">
        <f t="shared" si="7"/>
        <v>0</v>
      </c>
      <c r="I61" s="85"/>
      <c r="J61" s="85"/>
      <c r="K61" s="86" t="str">
        <f t="shared" si="8"/>
        <v/>
      </c>
      <c r="L61" s="87" t="str">
        <f t="shared" si="9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10"/>
        <v>0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2138.7199999999998</v>
      </c>
      <c r="D62" s="81">
        <v>0</v>
      </c>
      <c r="E62" s="82">
        <v>0</v>
      </c>
      <c r="F62" s="82">
        <v>5163.3900000000003</v>
      </c>
      <c r="G62" s="82">
        <v>0</v>
      </c>
      <c r="H62" s="91">
        <f t="shared" si="7"/>
        <v>0</v>
      </c>
      <c r="I62" s="85"/>
      <c r="J62" s="85"/>
      <c r="K62" s="86" t="str">
        <f t="shared" si="8"/>
        <v/>
      </c>
      <c r="L62" s="87" t="str">
        <f t="shared" si="9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10"/>
        <v>0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2137.65</v>
      </c>
      <c r="D63" s="81">
        <v>0</v>
      </c>
      <c r="E63" s="82">
        <v>0</v>
      </c>
      <c r="F63" s="82">
        <v>5167.87</v>
      </c>
      <c r="G63" s="82">
        <v>0</v>
      </c>
      <c r="H63" s="91">
        <f t="shared" si="7"/>
        <v>0</v>
      </c>
      <c r="I63" s="85"/>
      <c r="J63" s="85"/>
      <c r="K63" s="86" t="str">
        <f t="shared" si="8"/>
        <v/>
      </c>
      <c r="L63" s="87" t="str">
        <f t="shared" si="9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10"/>
        <v>0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2127.39</v>
      </c>
      <c r="D64" s="81">
        <v>0</v>
      </c>
      <c r="E64" s="82">
        <v>0</v>
      </c>
      <c r="F64" s="82">
        <v>5159.72</v>
      </c>
      <c r="G64" s="82">
        <v>0</v>
      </c>
      <c r="H64" s="91">
        <f t="shared" si="7"/>
        <v>0</v>
      </c>
      <c r="I64" s="85"/>
      <c r="J64" s="85"/>
      <c r="K64" s="86" t="str">
        <f t="shared" si="8"/>
        <v/>
      </c>
      <c r="L64" s="87" t="str">
        <f t="shared" si="9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10"/>
        <v>0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2080.86</v>
      </c>
      <c r="D65" s="81">
        <v>0</v>
      </c>
      <c r="E65" s="82">
        <v>0</v>
      </c>
      <c r="F65" s="82">
        <v>5259.75</v>
      </c>
      <c r="G65" s="82">
        <v>0</v>
      </c>
      <c r="H65" s="91">
        <f t="shared" si="7"/>
        <v>0</v>
      </c>
      <c r="I65" s="85"/>
      <c r="J65" s="85"/>
      <c r="K65" s="86" t="str">
        <f t="shared" si="8"/>
        <v/>
      </c>
      <c r="L65" s="87" t="str">
        <f t="shared" si="9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10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1966.92</v>
      </c>
      <c r="D66" s="81">
        <v>0</v>
      </c>
      <c r="E66" s="82">
        <v>0</v>
      </c>
      <c r="F66" s="82">
        <v>5498.19</v>
      </c>
      <c r="G66" s="82">
        <v>0</v>
      </c>
      <c r="H66" s="91">
        <f t="shared" si="7"/>
        <v>0</v>
      </c>
      <c r="I66" s="85"/>
      <c r="J66" s="85"/>
      <c r="K66" s="86" t="str">
        <f t="shared" si="8"/>
        <v/>
      </c>
      <c r="L66" s="87" t="str">
        <f t="shared" si="9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10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1954.82</v>
      </c>
      <c r="D67" s="81">
        <v>0</v>
      </c>
      <c r="E67" s="82">
        <v>0</v>
      </c>
      <c r="F67" s="82">
        <v>5565.55</v>
      </c>
      <c r="G67" s="82">
        <v>0</v>
      </c>
      <c r="H67" s="91">
        <f t="shared" si="7"/>
        <v>0</v>
      </c>
      <c r="I67" s="85"/>
      <c r="J67" s="85"/>
      <c r="K67" s="86" t="str">
        <f t="shared" si="8"/>
        <v/>
      </c>
      <c r="L67" s="87" t="str">
        <f t="shared" si="9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10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2009.7</v>
      </c>
      <c r="D68" s="81">
        <v>0.17</v>
      </c>
      <c r="E68" s="82">
        <v>0</v>
      </c>
      <c r="F68" s="82">
        <v>5313.15</v>
      </c>
      <c r="G68" s="82">
        <v>0</v>
      </c>
      <c r="H68" s="91">
        <f t="shared" si="7"/>
        <v>0</v>
      </c>
      <c r="I68" s="85"/>
      <c r="K68" s="86" t="str">
        <f t="shared" si="8"/>
        <v/>
      </c>
      <c r="L68" s="87" t="str">
        <f t="shared" si="9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10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2150.86</v>
      </c>
      <c r="D69" s="81">
        <v>0</v>
      </c>
      <c r="E69" s="82">
        <v>0</v>
      </c>
      <c r="F69" s="82">
        <v>5199.4799999999996</v>
      </c>
      <c r="G69" s="82">
        <v>0</v>
      </c>
      <c r="H69" s="91">
        <f t="shared" si="7"/>
        <v>0</v>
      </c>
      <c r="I69" s="85"/>
      <c r="J69" s="85"/>
      <c r="K69" s="86" t="str">
        <f t="shared" si="8"/>
        <v/>
      </c>
      <c r="L69" s="87" t="str">
        <f t="shared" si="9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10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2126.38</v>
      </c>
      <c r="D70" s="81">
        <v>0</v>
      </c>
      <c r="E70" s="82">
        <v>0</v>
      </c>
      <c r="F70" s="82">
        <v>5177.3999999999996</v>
      </c>
      <c r="G70" s="82">
        <v>0</v>
      </c>
      <c r="H70" s="91">
        <f t="shared" si="7"/>
        <v>0</v>
      </c>
      <c r="I70" s="85"/>
      <c r="J70" s="85"/>
      <c r="K70" s="86" t="str">
        <f t="shared" si="8"/>
        <v/>
      </c>
      <c r="L70" s="87" t="str">
        <f t="shared" si="9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10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2121.38</v>
      </c>
      <c r="D71" s="81">
        <v>0</v>
      </c>
      <c r="E71" s="82">
        <v>0</v>
      </c>
      <c r="F71" s="82">
        <v>5201.93</v>
      </c>
      <c r="G71" s="82">
        <v>0</v>
      </c>
      <c r="H71" s="91">
        <f t="shared" si="7"/>
        <v>0</v>
      </c>
      <c r="I71" s="85"/>
      <c r="J71" s="85"/>
      <c r="K71" s="86" t="str">
        <f t="shared" si="8"/>
        <v/>
      </c>
      <c r="L71" s="87" t="str">
        <f t="shared" si="9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10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2230.38</v>
      </c>
      <c r="D72" s="81">
        <v>0</v>
      </c>
      <c r="E72" s="82">
        <v>0</v>
      </c>
      <c r="F72" s="82">
        <v>5069.43</v>
      </c>
      <c r="G72" s="82">
        <v>0</v>
      </c>
      <c r="H72" s="91">
        <f t="shared" si="7"/>
        <v>0</v>
      </c>
      <c r="I72" s="85"/>
      <c r="J72" s="85"/>
      <c r="K72" s="86" t="str">
        <f t="shared" si="8"/>
        <v/>
      </c>
      <c r="L72" s="87" t="str">
        <f t="shared" si="9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10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2137.64</v>
      </c>
      <c r="D73" s="81">
        <v>0.05</v>
      </c>
      <c r="E73" s="82">
        <v>0</v>
      </c>
      <c r="F73" s="82">
        <v>5202.9799999999996</v>
      </c>
      <c r="G73" s="82">
        <v>0</v>
      </c>
      <c r="H73" s="91">
        <f t="shared" si="7"/>
        <v>0</v>
      </c>
      <c r="I73" s="85"/>
      <c r="J73" s="85"/>
      <c r="K73" s="86" t="str">
        <f t="shared" si="8"/>
        <v/>
      </c>
      <c r="L73" s="87" t="str">
        <f t="shared" si="9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10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2095.87</v>
      </c>
      <c r="D74" s="81">
        <v>0</v>
      </c>
      <c r="E74" s="82">
        <v>0</v>
      </c>
      <c r="F74" s="82">
        <v>5299.82</v>
      </c>
      <c r="G74" s="82">
        <v>0</v>
      </c>
      <c r="H74" s="91">
        <f t="shared" si="7"/>
        <v>0</v>
      </c>
      <c r="I74" s="85"/>
      <c r="J74" s="85"/>
      <c r="K74" s="86" t="str">
        <f t="shared" si="8"/>
        <v/>
      </c>
      <c r="L74" s="87" t="str">
        <f t="shared" si="9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10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2275.92</v>
      </c>
      <c r="D75" s="81">
        <v>0</v>
      </c>
      <c r="E75" s="82">
        <v>0</v>
      </c>
      <c r="F75" s="82">
        <v>5009.6499999999996</v>
      </c>
      <c r="G75" s="82">
        <v>0</v>
      </c>
      <c r="H75" s="91">
        <f t="shared" si="7"/>
        <v>0</v>
      </c>
      <c r="I75" s="85"/>
      <c r="J75" s="85"/>
      <c r="K75" s="86" t="str">
        <f t="shared" si="8"/>
        <v/>
      </c>
      <c r="L75" s="87" t="str">
        <f t="shared" si="9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10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2273.62</v>
      </c>
      <c r="D76" s="81">
        <v>0</v>
      </c>
      <c r="E76" s="82">
        <v>0</v>
      </c>
      <c r="F76" s="82">
        <v>5034.25</v>
      </c>
      <c r="G76" s="82">
        <v>0</v>
      </c>
      <c r="H76" s="91">
        <f t="shared" si="7"/>
        <v>0</v>
      </c>
      <c r="I76" s="85"/>
      <c r="J76" s="85"/>
      <c r="K76" s="86" t="str">
        <f t="shared" si="8"/>
        <v/>
      </c>
      <c r="L76" s="87" t="str">
        <f t="shared" si="9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10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2202.46</v>
      </c>
      <c r="D77" s="81">
        <v>0</v>
      </c>
      <c r="E77" s="82">
        <v>0</v>
      </c>
      <c r="F77" s="82">
        <v>5233.1099999999997</v>
      </c>
      <c r="G77" s="82">
        <v>0</v>
      </c>
      <c r="H77" s="91">
        <f t="shared" si="7"/>
        <v>0</v>
      </c>
      <c r="I77" s="85"/>
      <c r="J77" s="85"/>
      <c r="K77" s="86" t="str">
        <f t="shared" si="8"/>
        <v/>
      </c>
      <c r="L77" s="87" t="str">
        <f t="shared" si="9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10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2256.48</v>
      </c>
      <c r="D78" s="81">
        <v>0</v>
      </c>
      <c r="E78" s="82">
        <v>0</v>
      </c>
      <c r="F78" s="82">
        <v>5093.3999999999996</v>
      </c>
      <c r="G78" s="82">
        <v>0</v>
      </c>
      <c r="H78" s="91">
        <f t="shared" si="7"/>
        <v>0</v>
      </c>
      <c r="I78" s="85"/>
      <c r="J78" s="85"/>
      <c r="K78" s="86" t="str">
        <f t="shared" si="8"/>
        <v/>
      </c>
      <c r="L78" s="87" t="str">
        <f t="shared" si="9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0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2367.79</v>
      </c>
      <c r="D79" s="81">
        <v>0</v>
      </c>
      <c r="E79" s="82">
        <v>0</v>
      </c>
      <c r="F79" s="82">
        <v>4833.25</v>
      </c>
      <c r="G79" s="82">
        <v>0</v>
      </c>
      <c r="H79" s="91">
        <f t="shared" si="7"/>
        <v>0</v>
      </c>
      <c r="I79" s="85"/>
      <c r="J79" s="85"/>
      <c r="K79" s="86" t="str">
        <f t="shared" si="8"/>
        <v/>
      </c>
      <c r="L79" s="87" t="str">
        <f t="shared" si="9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0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2355.27</v>
      </c>
      <c r="D80" s="81">
        <v>0</v>
      </c>
      <c r="E80" s="82">
        <v>0</v>
      </c>
      <c r="F80" s="82">
        <v>4866.8</v>
      </c>
      <c r="G80" s="82">
        <v>0</v>
      </c>
      <c r="H80" s="91">
        <f t="shared" si="7"/>
        <v>0</v>
      </c>
      <c r="I80" s="85"/>
      <c r="J80" s="85"/>
      <c r="K80" s="86" t="str">
        <f t="shared" si="8"/>
        <v/>
      </c>
      <c r="L80" s="87" t="str">
        <f t="shared" si="9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0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2328.2399999999998</v>
      </c>
      <c r="D81" s="28">
        <v>0</v>
      </c>
      <c r="E81" s="96">
        <v>0</v>
      </c>
      <c r="F81" s="97">
        <v>4926.2299999999996</v>
      </c>
      <c r="G81" s="82">
        <v>0</v>
      </c>
      <c r="H81" s="98">
        <f t="shared" si="7"/>
        <v>0</v>
      </c>
      <c r="I81" s="115"/>
      <c r="J81" s="85"/>
      <c r="K81" s="99" t="str">
        <f t="shared" si="8"/>
        <v/>
      </c>
      <c r="L81" s="87" t="str">
        <f t="shared" si="9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0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1">SUM(B58:B81)</f>
        <v>0</v>
      </c>
      <c r="C82" s="35">
        <f t="shared" si="11"/>
        <v>51871.86</v>
      </c>
      <c r="D82" s="35">
        <f t="shared" si="11"/>
        <v>0.22000000000000003</v>
      </c>
      <c r="E82" s="35">
        <f t="shared" si="11"/>
        <v>0</v>
      </c>
      <c r="F82" s="101">
        <f t="shared" si="11"/>
        <v>123917.27999999996</v>
      </c>
      <c r="G82" s="35">
        <f t="shared" si="11"/>
        <v>0</v>
      </c>
      <c r="H82" s="102"/>
      <c r="I82" s="103"/>
      <c r="J82" s="104"/>
      <c r="K82" s="105" t="str">
        <f>IFERROR(AVERAGE(K58:K81),"")</f>
        <v/>
      </c>
      <c r="L82" s="40">
        <f t="shared" ref="L82:U82" si="12">SUM(L58:L81)</f>
        <v>0</v>
      </c>
      <c r="M82" s="40">
        <f t="shared" si="12"/>
        <v>0</v>
      </c>
      <c r="N82" s="39">
        <f t="shared" si="12"/>
        <v>0</v>
      </c>
      <c r="O82" s="39">
        <f t="shared" si="12"/>
        <v>0</v>
      </c>
      <c r="P82" s="39">
        <f t="shared" si="12"/>
        <v>0</v>
      </c>
      <c r="Q82" s="39">
        <f t="shared" si="12"/>
        <v>0</v>
      </c>
      <c r="R82" s="39">
        <f t="shared" si="12"/>
        <v>0</v>
      </c>
      <c r="S82" s="39">
        <f t="shared" si="12"/>
        <v>0</v>
      </c>
      <c r="T82" s="39">
        <f t="shared" si="12"/>
        <v>0</v>
      </c>
      <c r="U82" s="39">
        <f t="shared" si="12"/>
        <v>0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123917.27999999996</v>
      </c>
      <c r="J87" s="41"/>
      <c r="K87" s="62" t="s">
        <v>59</v>
      </c>
      <c r="L87" s="113">
        <v>6848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</v>
      </c>
      <c r="B88" s="57">
        <v>0</v>
      </c>
      <c r="C88" s="57">
        <v>1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2525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 t="str">
        <f>IFERROR(3412.14/K82,"")</f>
        <v/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K90:L90"/>
    <mergeCell ref="B91:B92"/>
    <mergeCell ref="C91:I92"/>
    <mergeCell ref="K91:L91"/>
    <mergeCell ref="K92:L92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A85:A86"/>
    <mergeCell ref="B85:B86"/>
    <mergeCell ref="C85:C86"/>
    <mergeCell ref="D85:D86"/>
    <mergeCell ref="H85:I8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H41:H42"/>
    <mergeCell ref="I41:I42"/>
    <mergeCell ref="K44:L44"/>
    <mergeCell ref="C45:I46"/>
    <mergeCell ref="K45:L45"/>
    <mergeCell ref="K46:L46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A39:A40"/>
    <mergeCell ref="B39:B40"/>
    <mergeCell ref="C39:C40"/>
    <mergeCell ref="D39:D40"/>
    <mergeCell ref="H39:I40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1:C1"/>
    <mergeCell ref="D1:U2"/>
    <mergeCell ref="V1:X4"/>
    <mergeCell ref="A2:C2"/>
    <mergeCell ref="A3:C3"/>
    <mergeCell ref="D3:U4"/>
    <mergeCell ref="A4:C4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E580-F338-4343-95F0-912B1A62A5A1}">
  <dimension ref="A1:Z109"/>
  <sheetViews>
    <sheetView topLeftCell="A56" zoomScale="85" zoomScaleNormal="85" workbookViewId="0">
      <selection activeCell="L87" sqref="L87:L88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17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100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176290</v>
      </c>
      <c r="C12" s="28">
        <v>0</v>
      </c>
      <c r="D12" s="28">
        <v>6455.21</v>
      </c>
      <c r="E12" s="28">
        <v>78.89</v>
      </c>
      <c r="F12" s="28">
        <v>79.61</v>
      </c>
      <c r="G12" s="28">
        <f t="shared" ref="G12:G35" si="0">+E12+F12</f>
        <v>158.5</v>
      </c>
      <c r="H12" s="28">
        <v>0</v>
      </c>
      <c r="I12" s="28">
        <v>0</v>
      </c>
      <c r="J12" s="112">
        <v>164</v>
      </c>
      <c r="K12" s="28">
        <f t="shared" ref="K12:K35" si="1">IF(J12=0,0,100*(G12-J12)/J12)</f>
        <v>-3.3536585365853657</v>
      </c>
      <c r="L12" s="28"/>
      <c r="M12" s="28"/>
      <c r="N12" s="28">
        <f t="shared" ref="N12:N35" si="2">IFERROR(V12*1000*2.2*$K$46/G12/1000,"")</f>
        <v>9536.2707381703476</v>
      </c>
      <c r="O12" s="28" t="str">
        <f t="shared" ref="O12:O35" si="3">IF(OR(K12&gt;5,K12&lt;-5),G12-J12,"")</f>
        <v/>
      </c>
      <c r="P12" s="28">
        <v>8.65</v>
      </c>
      <c r="Q12" s="28">
        <v>11.06</v>
      </c>
      <c r="R12" s="28">
        <v>18.7</v>
      </c>
      <c r="S12" s="28">
        <v>19.86</v>
      </c>
      <c r="T12" s="28">
        <v>19.850000000000001</v>
      </c>
      <c r="U12" s="28">
        <v>5.32</v>
      </c>
      <c r="V12" s="28">
        <f t="shared" ref="V12:V35" si="4">+SUM(P12:U12)</f>
        <v>83.44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175790</v>
      </c>
      <c r="C13" s="28">
        <v>0</v>
      </c>
      <c r="D13" s="28">
        <v>6814.7</v>
      </c>
      <c r="E13" s="28">
        <v>78.72</v>
      </c>
      <c r="F13" s="28">
        <v>79.430000000000007</v>
      </c>
      <c r="G13" s="28">
        <f t="shared" si="0"/>
        <v>158.15</v>
      </c>
      <c r="H13" s="28">
        <v>0</v>
      </c>
      <c r="I13" s="28">
        <v>0</v>
      </c>
      <c r="J13" s="112">
        <v>164</v>
      </c>
      <c r="K13" s="28">
        <f t="shared" si="1"/>
        <v>-3.567073170731704</v>
      </c>
      <c r="L13" s="28"/>
      <c r="M13" s="28"/>
      <c r="N13" s="28">
        <f t="shared" si="2"/>
        <v>9551.6482579829299</v>
      </c>
      <c r="O13" s="28" t="str">
        <f t="shared" si="3"/>
        <v/>
      </c>
      <c r="P13" s="28">
        <v>8.35</v>
      </c>
      <c r="Q13" s="28">
        <v>11.06</v>
      </c>
      <c r="R13" s="28">
        <v>18.690000000000001</v>
      </c>
      <c r="S13" s="28">
        <v>19.850000000000001</v>
      </c>
      <c r="T13" s="28">
        <v>19.850000000000001</v>
      </c>
      <c r="U13" s="28">
        <v>5.59</v>
      </c>
      <c r="V13" s="28">
        <f t="shared" si="4"/>
        <v>83.390000000000015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175640</v>
      </c>
      <c r="C14" s="28">
        <v>0.16</v>
      </c>
      <c r="D14" s="28">
        <v>6110.08</v>
      </c>
      <c r="E14" s="28">
        <v>78.680000000000007</v>
      </c>
      <c r="F14" s="28">
        <v>79.400000000000006</v>
      </c>
      <c r="G14" s="28">
        <f t="shared" si="0"/>
        <v>158.08000000000001</v>
      </c>
      <c r="H14" s="28">
        <v>0</v>
      </c>
      <c r="I14" s="28">
        <v>0</v>
      </c>
      <c r="J14" s="112">
        <v>164</v>
      </c>
      <c r="K14" s="28">
        <f t="shared" si="1"/>
        <v>-3.6097560975609682</v>
      </c>
      <c r="L14" s="28"/>
      <c r="M14" s="28"/>
      <c r="N14" s="28">
        <f t="shared" si="2"/>
        <v>9616.6119433198382</v>
      </c>
      <c r="O14" s="28" t="str">
        <f t="shared" si="3"/>
        <v/>
      </c>
      <c r="P14" s="28">
        <v>8.39</v>
      </c>
      <c r="Q14" s="28">
        <v>11.16</v>
      </c>
      <c r="R14" s="28">
        <v>18.79</v>
      </c>
      <c r="S14" s="28">
        <v>19.940000000000001</v>
      </c>
      <c r="T14" s="28">
        <v>19.940000000000001</v>
      </c>
      <c r="U14" s="28">
        <v>5.7</v>
      </c>
      <c r="V14" s="28">
        <f t="shared" si="4"/>
        <v>83.92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175720</v>
      </c>
      <c r="C15" s="28">
        <v>0.44999999999999996</v>
      </c>
      <c r="D15" s="28">
        <v>6303.77</v>
      </c>
      <c r="E15" s="28">
        <v>78.78</v>
      </c>
      <c r="F15" s="28">
        <v>79.5</v>
      </c>
      <c r="G15" s="28">
        <f t="shared" si="0"/>
        <v>158.28</v>
      </c>
      <c r="H15" s="28">
        <v>0</v>
      </c>
      <c r="I15" s="28">
        <v>0</v>
      </c>
      <c r="J15" s="112">
        <v>164</v>
      </c>
      <c r="K15" s="28">
        <f t="shared" si="1"/>
        <v>-3.4878048780487796</v>
      </c>
      <c r="L15" s="28"/>
      <c r="M15" s="28"/>
      <c r="N15" s="28">
        <f t="shared" si="2"/>
        <v>9630.7835481425336</v>
      </c>
      <c r="O15" s="28" t="str">
        <f t="shared" si="3"/>
        <v/>
      </c>
      <c r="P15" s="28">
        <v>8.23</v>
      </c>
      <c r="Q15" s="28">
        <v>11.26</v>
      </c>
      <c r="R15" s="28">
        <v>18.899999999999999</v>
      </c>
      <c r="S15" s="28">
        <v>20.04</v>
      </c>
      <c r="T15" s="28">
        <v>20.05</v>
      </c>
      <c r="U15" s="28">
        <v>5.67</v>
      </c>
      <c r="V15" s="28">
        <f t="shared" si="4"/>
        <v>84.15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175320</v>
      </c>
      <c r="C16" s="28">
        <v>0</v>
      </c>
      <c r="D16" s="28">
        <v>8088.2</v>
      </c>
      <c r="E16" s="28">
        <v>78.569999999999993</v>
      </c>
      <c r="F16" s="28">
        <v>79.27</v>
      </c>
      <c r="G16" s="28">
        <f t="shared" si="0"/>
        <v>157.83999999999997</v>
      </c>
      <c r="H16" s="28">
        <v>0</v>
      </c>
      <c r="I16" s="28">
        <v>0</v>
      </c>
      <c r="J16" s="112">
        <v>164</v>
      </c>
      <c r="K16" s="28">
        <f t="shared" si="1"/>
        <v>-3.7560975609756251</v>
      </c>
      <c r="L16" s="28"/>
      <c r="M16" s="28"/>
      <c r="N16" s="28">
        <f t="shared" si="2"/>
        <v>9674.8456664977184</v>
      </c>
      <c r="O16" s="28" t="str">
        <f t="shared" si="3"/>
        <v/>
      </c>
      <c r="P16" s="28">
        <v>8.24</v>
      </c>
      <c r="Q16" s="28">
        <v>11.34</v>
      </c>
      <c r="R16" s="28">
        <v>18.989999999999998</v>
      </c>
      <c r="S16" s="28">
        <v>20.13</v>
      </c>
      <c r="T16" s="28">
        <v>20.13</v>
      </c>
      <c r="U16" s="28">
        <v>5.47</v>
      </c>
      <c r="V16" s="28">
        <f t="shared" si="4"/>
        <v>84.299999999999983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176120</v>
      </c>
      <c r="C17" s="28">
        <v>0</v>
      </c>
      <c r="D17" s="28">
        <v>10717.82</v>
      </c>
      <c r="E17" s="28">
        <v>78.73</v>
      </c>
      <c r="F17" s="28">
        <v>79.44</v>
      </c>
      <c r="G17" s="28">
        <f t="shared" si="0"/>
        <v>158.17000000000002</v>
      </c>
      <c r="H17" s="28">
        <v>0</v>
      </c>
      <c r="I17" s="28">
        <v>0</v>
      </c>
      <c r="J17" s="112">
        <v>164</v>
      </c>
      <c r="K17" s="28">
        <f t="shared" si="1"/>
        <v>-3.5548780487804783</v>
      </c>
      <c r="L17" s="28"/>
      <c r="M17" s="28"/>
      <c r="N17" s="28">
        <f t="shared" si="2"/>
        <v>9695.8902952519456</v>
      </c>
      <c r="O17" s="28" t="str">
        <f t="shared" si="3"/>
        <v/>
      </c>
      <c r="P17" s="28">
        <v>8.41</v>
      </c>
      <c r="Q17" s="28">
        <v>11.36</v>
      </c>
      <c r="R17" s="28">
        <v>19</v>
      </c>
      <c r="S17" s="28">
        <v>20.149999999999999</v>
      </c>
      <c r="T17" s="28">
        <v>20.149999999999999</v>
      </c>
      <c r="U17" s="28">
        <v>5.59</v>
      </c>
      <c r="V17" s="28">
        <f t="shared" si="4"/>
        <v>84.66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175600</v>
      </c>
      <c r="C18" s="28">
        <v>0</v>
      </c>
      <c r="D18" s="28">
        <v>11792.189999999999</v>
      </c>
      <c r="E18" s="28">
        <v>78.540000000000006</v>
      </c>
      <c r="F18" s="28">
        <v>79.25</v>
      </c>
      <c r="G18" s="28">
        <f t="shared" si="0"/>
        <v>157.79000000000002</v>
      </c>
      <c r="H18" s="28">
        <v>0</v>
      </c>
      <c r="I18" s="28">
        <v>0</v>
      </c>
      <c r="J18" s="112">
        <v>164</v>
      </c>
      <c r="K18" s="28">
        <f t="shared" si="1"/>
        <v>-3.7865853658536461</v>
      </c>
      <c r="L18" s="28"/>
      <c r="M18" s="28"/>
      <c r="N18" s="28">
        <f t="shared" si="2"/>
        <v>9741.0531719373848</v>
      </c>
      <c r="O18" s="28" t="str">
        <f t="shared" si="3"/>
        <v/>
      </c>
      <c r="P18" s="28">
        <v>8.27</v>
      </c>
      <c r="Q18" s="28">
        <v>11.6</v>
      </c>
      <c r="R18" s="28">
        <v>19.25</v>
      </c>
      <c r="S18" s="28">
        <v>20.39</v>
      </c>
      <c r="T18" s="28">
        <v>20.38</v>
      </c>
      <c r="U18" s="28">
        <v>4.96</v>
      </c>
      <c r="V18" s="28">
        <f t="shared" si="4"/>
        <v>84.85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175630</v>
      </c>
      <c r="C19" s="28">
        <v>0</v>
      </c>
      <c r="D19" s="28">
        <v>9358.2900000000009</v>
      </c>
      <c r="E19" s="28">
        <v>78.459999999999994</v>
      </c>
      <c r="F19" s="28">
        <v>79.150000000000006</v>
      </c>
      <c r="G19" s="28">
        <f t="shared" si="0"/>
        <v>157.61000000000001</v>
      </c>
      <c r="H19" s="28">
        <v>0</v>
      </c>
      <c r="I19" s="28">
        <v>0</v>
      </c>
      <c r="J19" s="112">
        <v>164</v>
      </c>
      <c r="K19" s="28">
        <f t="shared" si="1"/>
        <v>-3.8963414634146258</v>
      </c>
      <c r="L19" s="28"/>
      <c r="M19" s="28"/>
      <c r="N19" s="28">
        <f t="shared" si="2"/>
        <v>9782.0609605989466</v>
      </c>
      <c r="O19" s="28" t="str">
        <f t="shared" si="3"/>
        <v/>
      </c>
      <c r="P19" s="28">
        <v>8.27</v>
      </c>
      <c r="Q19" s="28">
        <v>11.65</v>
      </c>
      <c r="R19" s="28">
        <v>19.3</v>
      </c>
      <c r="S19" s="28">
        <v>20.45</v>
      </c>
      <c r="T19" s="28">
        <v>20.440000000000001</v>
      </c>
      <c r="U19" s="28">
        <v>5</v>
      </c>
      <c r="V19" s="28">
        <f t="shared" si="4"/>
        <v>85.11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176750</v>
      </c>
      <c r="C20" s="28">
        <v>0</v>
      </c>
      <c r="D20" s="28">
        <v>7948.88</v>
      </c>
      <c r="E20" s="28">
        <v>78.91</v>
      </c>
      <c r="F20" s="28">
        <v>79.569999999999993</v>
      </c>
      <c r="G20" s="28">
        <f t="shared" si="0"/>
        <v>158.47999999999999</v>
      </c>
      <c r="H20" s="28">
        <v>0</v>
      </c>
      <c r="I20" s="28">
        <v>0</v>
      </c>
      <c r="J20" s="112">
        <v>164</v>
      </c>
      <c r="K20" s="28">
        <f t="shared" si="1"/>
        <v>-3.3658536585365915</v>
      </c>
      <c r="L20" s="28"/>
      <c r="M20" s="28"/>
      <c r="N20" s="28">
        <f t="shared" si="2"/>
        <v>9737.505123674915</v>
      </c>
      <c r="O20" s="28" t="str">
        <f t="shared" si="3"/>
        <v/>
      </c>
      <c r="P20" s="28">
        <v>8.26</v>
      </c>
      <c r="Q20" s="28">
        <v>11.66</v>
      </c>
      <c r="R20" s="28">
        <v>19.3</v>
      </c>
      <c r="S20" s="28">
        <v>20.45</v>
      </c>
      <c r="T20" s="28">
        <v>20.440000000000001</v>
      </c>
      <c r="U20" s="28">
        <v>5.08</v>
      </c>
      <c r="V20" s="28">
        <f t="shared" si="4"/>
        <v>85.19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177420</v>
      </c>
      <c r="C21" s="28">
        <v>0</v>
      </c>
      <c r="D21" s="28">
        <v>6095.96</v>
      </c>
      <c r="E21" s="28">
        <v>79.27</v>
      </c>
      <c r="F21" s="28">
        <v>79.95</v>
      </c>
      <c r="G21" s="28">
        <f t="shared" si="0"/>
        <v>159.22</v>
      </c>
      <c r="H21" s="28">
        <v>0</v>
      </c>
      <c r="I21" s="28">
        <v>0</v>
      </c>
      <c r="J21" s="112">
        <v>164</v>
      </c>
      <c r="K21" s="28">
        <f t="shared" si="1"/>
        <v>-2.9146341463414642</v>
      </c>
      <c r="L21" s="28"/>
      <c r="M21" s="28"/>
      <c r="N21" s="28">
        <f t="shared" si="2"/>
        <v>9717.2784072352733</v>
      </c>
      <c r="O21" s="28" t="str">
        <f t="shared" si="3"/>
        <v/>
      </c>
      <c r="P21" s="28">
        <v>8.43</v>
      </c>
      <c r="Q21" s="28">
        <v>11.67</v>
      </c>
      <c r="R21" s="28">
        <v>19.32</v>
      </c>
      <c r="S21" s="28">
        <v>20.47</v>
      </c>
      <c r="T21" s="28">
        <v>20.47</v>
      </c>
      <c r="U21" s="28">
        <v>5.05</v>
      </c>
      <c r="V21" s="28">
        <f t="shared" si="4"/>
        <v>85.41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177300</v>
      </c>
      <c r="C22" s="28">
        <v>35.44</v>
      </c>
      <c r="D22" s="28">
        <v>3771.3199999999997</v>
      </c>
      <c r="E22" s="28">
        <v>79.3</v>
      </c>
      <c r="F22" s="28">
        <v>79.98</v>
      </c>
      <c r="G22" s="28">
        <f t="shared" si="0"/>
        <v>159.28</v>
      </c>
      <c r="H22" s="28">
        <v>0</v>
      </c>
      <c r="I22" s="28">
        <v>0</v>
      </c>
      <c r="J22" s="112">
        <v>164</v>
      </c>
      <c r="K22" s="28">
        <f t="shared" si="1"/>
        <v>-2.8780487804878043</v>
      </c>
      <c r="L22" s="28"/>
      <c r="M22" s="28"/>
      <c r="N22" s="28">
        <f t="shared" si="2"/>
        <v>9680.6364640883967</v>
      </c>
      <c r="O22" s="28" t="str">
        <f t="shared" si="3"/>
        <v/>
      </c>
      <c r="P22" s="28">
        <v>8.5</v>
      </c>
      <c r="Q22" s="28">
        <v>11.59</v>
      </c>
      <c r="R22" s="28">
        <v>19.239999999999998</v>
      </c>
      <c r="S22" s="28">
        <v>20.38</v>
      </c>
      <c r="T22" s="28">
        <v>20.38</v>
      </c>
      <c r="U22" s="28">
        <v>5.03</v>
      </c>
      <c r="V22" s="28">
        <f t="shared" si="4"/>
        <v>85.11999999999999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178020</v>
      </c>
      <c r="C23" s="28">
        <v>9.5</v>
      </c>
      <c r="D23" s="28">
        <v>4202.66</v>
      </c>
      <c r="E23" s="28">
        <v>79.67</v>
      </c>
      <c r="F23" s="28">
        <v>80.34</v>
      </c>
      <c r="G23" s="28">
        <f t="shared" si="0"/>
        <v>160.01</v>
      </c>
      <c r="H23" s="28">
        <v>0</v>
      </c>
      <c r="I23" s="28">
        <v>0</v>
      </c>
      <c r="J23" s="112">
        <v>164</v>
      </c>
      <c r="K23" s="28">
        <f t="shared" si="1"/>
        <v>-2.4329268292682982</v>
      </c>
      <c r="L23" s="28"/>
      <c r="M23" s="28"/>
      <c r="N23" s="28">
        <f t="shared" si="2"/>
        <v>9562.8845447159583</v>
      </c>
      <c r="O23" s="28" t="str">
        <f t="shared" si="3"/>
        <v/>
      </c>
      <c r="P23" s="28">
        <v>8.35</v>
      </c>
      <c r="Q23" s="28">
        <v>11.48</v>
      </c>
      <c r="R23" s="28">
        <v>19.100000000000001</v>
      </c>
      <c r="S23" s="28">
        <v>20.260000000000002</v>
      </c>
      <c r="T23" s="28">
        <v>20.25</v>
      </c>
      <c r="U23" s="28">
        <v>5.03</v>
      </c>
      <c r="V23" s="28">
        <f t="shared" si="4"/>
        <v>84.47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160670</v>
      </c>
      <c r="C24" s="28">
        <v>0.21</v>
      </c>
      <c r="D24" s="28">
        <v>6043.82</v>
      </c>
      <c r="E24" s="28">
        <v>71.430000000000007</v>
      </c>
      <c r="F24" s="28">
        <v>72.040000000000006</v>
      </c>
      <c r="G24" s="28">
        <f t="shared" si="0"/>
        <v>143.47000000000003</v>
      </c>
      <c r="H24" s="28">
        <v>0</v>
      </c>
      <c r="I24" s="28">
        <v>0</v>
      </c>
      <c r="J24" s="112">
        <v>140</v>
      </c>
      <c r="K24" s="28">
        <f t="shared" si="1"/>
        <v>2.4785714285714482</v>
      </c>
      <c r="L24" s="28"/>
      <c r="M24" s="28"/>
      <c r="N24" s="28">
        <f t="shared" si="2"/>
        <v>9804.2393531748785</v>
      </c>
      <c r="O24" s="28" t="str">
        <f t="shared" si="3"/>
        <v/>
      </c>
      <c r="P24" s="28">
        <v>8.17</v>
      </c>
      <c r="Q24" s="28">
        <v>9.81</v>
      </c>
      <c r="R24" s="28">
        <v>17.47</v>
      </c>
      <c r="S24" s="28">
        <v>18.61</v>
      </c>
      <c r="T24" s="28">
        <v>18.61</v>
      </c>
      <c r="U24" s="28">
        <v>4.9800000000000004</v>
      </c>
      <c r="V24" s="28">
        <f t="shared" si="4"/>
        <v>77.650000000000006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172700</v>
      </c>
      <c r="C25" s="28">
        <v>0</v>
      </c>
      <c r="D25" s="28">
        <v>10642.369999999999</v>
      </c>
      <c r="E25" s="28">
        <v>77.09</v>
      </c>
      <c r="F25" s="28">
        <v>77.72</v>
      </c>
      <c r="G25" s="28">
        <f t="shared" si="0"/>
        <v>154.81</v>
      </c>
      <c r="H25" s="28">
        <v>0</v>
      </c>
      <c r="I25" s="28">
        <v>0</v>
      </c>
      <c r="J25" s="112">
        <v>155</v>
      </c>
      <c r="K25" s="28">
        <f t="shared" si="1"/>
        <v>-0.12258064516128886</v>
      </c>
      <c r="L25" s="28"/>
      <c r="M25" s="28"/>
      <c r="N25" s="28">
        <f t="shared" si="2"/>
        <v>9764.7442671662047</v>
      </c>
      <c r="O25" s="28" t="str">
        <f t="shared" si="3"/>
        <v/>
      </c>
      <c r="P25" s="28">
        <v>8.07</v>
      </c>
      <c r="Q25" s="28">
        <v>11.32</v>
      </c>
      <c r="R25" s="28">
        <v>18.95</v>
      </c>
      <c r="S25" s="28">
        <v>20.100000000000001</v>
      </c>
      <c r="T25" s="28">
        <v>20.100000000000001</v>
      </c>
      <c r="U25" s="28">
        <v>4.91</v>
      </c>
      <c r="V25" s="28">
        <f t="shared" si="4"/>
        <v>83.45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176090</v>
      </c>
      <c r="C26" s="28">
        <v>0</v>
      </c>
      <c r="D26" s="28">
        <v>10104.459999999999</v>
      </c>
      <c r="E26" s="28">
        <v>78.72</v>
      </c>
      <c r="F26" s="28">
        <v>79.39</v>
      </c>
      <c r="G26" s="28">
        <f t="shared" si="0"/>
        <v>158.11000000000001</v>
      </c>
      <c r="H26" s="28">
        <v>0</v>
      </c>
      <c r="I26" s="28">
        <v>0</v>
      </c>
      <c r="J26" s="112">
        <v>164</v>
      </c>
      <c r="K26" s="28">
        <f t="shared" si="1"/>
        <v>-3.5914634146341382</v>
      </c>
      <c r="L26" s="28"/>
      <c r="M26" s="28"/>
      <c r="N26" s="28">
        <f t="shared" si="2"/>
        <v>9645.7214091455317</v>
      </c>
      <c r="O26" s="28" t="str">
        <f t="shared" si="3"/>
        <v/>
      </c>
      <c r="P26" s="28">
        <v>7.93</v>
      </c>
      <c r="Q26" s="28">
        <v>11.54</v>
      </c>
      <c r="R26" s="28">
        <v>19.190000000000001</v>
      </c>
      <c r="S26" s="28">
        <v>20.34</v>
      </c>
      <c r="T26" s="28">
        <v>20.329999999999998</v>
      </c>
      <c r="U26" s="28">
        <v>4.8600000000000003</v>
      </c>
      <c r="V26" s="28">
        <f t="shared" si="4"/>
        <v>84.19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176640</v>
      </c>
      <c r="C27" s="28">
        <v>17.670000000000002</v>
      </c>
      <c r="D27" s="28">
        <v>5757.49</v>
      </c>
      <c r="E27" s="28">
        <v>78.97</v>
      </c>
      <c r="F27" s="28">
        <v>79.67</v>
      </c>
      <c r="G27" s="28">
        <f t="shared" si="0"/>
        <v>158.63999999999999</v>
      </c>
      <c r="H27" s="28">
        <v>0</v>
      </c>
      <c r="I27" s="28">
        <v>0</v>
      </c>
      <c r="J27" s="112">
        <v>164</v>
      </c>
      <c r="K27" s="28">
        <f t="shared" si="1"/>
        <v>-3.2682926829268375</v>
      </c>
      <c r="L27" s="28"/>
      <c r="M27" s="28"/>
      <c r="N27" s="28">
        <f t="shared" si="2"/>
        <v>9595.2259455370695</v>
      </c>
      <c r="O27" s="28" t="str">
        <f t="shared" si="3"/>
        <v/>
      </c>
      <c r="P27" s="28">
        <v>7.92</v>
      </c>
      <c r="Q27" s="28">
        <v>11.18</v>
      </c>
      <c r="R27" s="28">
        <v>19.3</v>
      </c>
      <c r="S27" s="28">
        <v>20.46</v>
      </c>
      <c r="T27" s="28">
        <v>20.440000000000001</v>
      </c>
      <c r="U27" s="28">
        <v>4.7300000000000004</v>
      </c>
      <c r="V27" s="28">
        <f t="shared" si="4"/>
        <v>84.030000000000015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176840</v>
      </c>
      <c r="C28" s="28">
        <v>0</v>
      </c>
      <c r="D28" s="28">
        <v>8521.33</v>
      </c>
      <c r="E28" s="28">
        <v>78.92</v>
      </c>
      <c r="F28" s="28">
        <v>79.63</v>
      </c>
      <c r="G28" s="28">
        <f t="shared" si="0"/>
        <v>158.55000000000001</v>
      </c>
      <c r="H28" s="28">
        <v>0</v>
      </c>
      <c r="I28" s="28">
        <v>0</v>
      </c>
      <c r="J28" s="112">
        <v>164</v>
      </c>
      <c r="K28" s="28">
        <f t="shared" si="1"/>
        <v>-3.32317073170731</v>
      </c>
      <c r="L28" s="28"/>
      <c r="M28" s="28"/>
      <c r="N28" s="28">
        <f t="shared" si="2"/>
        <v>9625.8082623778009</v>
      </c>
      <c r="O28" s="28" t="str">
        <f t="shared" si="3"/>
        <v/>
      </c>
      <c r="P28" s="28">
        <v>7.77</v>
      </c>
      <c r="Q28" s="28">
        <v>10.72</v>
      </c>
      <c r="R28" s="28">
        <v>19.57</v>
      </c>
      <c r="S28" s="28">
        <v>20.72</v>
      </c>
      <c r="T28" s="28">
        <v>20.72</v>
      </c>
      <c r="U28" s="28">
        <v>4.75</v>
      </c>
      <c r="V28" s="28">
        <f t="shared" si="4"/>
        <v>84.25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177130</v>
      </c>
      <c r="C29" s="28">
        <v>0</v>
      </c>
      <c r="D29" s="28">
        <v>21304.95</v>
      </c>
      <c r="E29" s="28">
        <v>79</v>
      </c>
      <c r="F29" s="28">
        <v>79.680000000000007</v>
      </c>
      <c r="G29" s="28">
        <f t="shared" si="0"/>
        <v>158.68</v>
      </c>
      <c r="H29" s="28">
        <v>0</v>
      </c>
      <c r="I29" s="28">
        <v>0</v>
      </c>
      <c r="J29" s="112">
        <v>164</v>
      </c>
      <c r="K29" s="28">
        <f t="shared" si="1"/>
        <v>-3.243902439024386</v>
      </c>
      <c r="L29" s="28"/>
      <c r="M29" s="28"/>
      <c r="N29" s="28">
        <f t="shared" si="2"/>
        <v>9608.7894882782984</v>
      </c>
      <c r="O29" s="28" t="str">
        <f t="shared" si="3"/>
        <v/>
      </c>
      <c r="P29" s="28">
        <v>7.71</v>
      </c>
      <c r="Q29" s="28">
        <v>10.7</v>
      </c>
      <c r="R29" s="28">
        <v>19.559999999999999</v>
      </c>
      <c r="S29" s="28">
        <v>20.71</v>
      </c>
      <c r="T29" s="28">
        <v>20.71</v>
      </c>
      <c r="U29" s="28">
        <v>4.78</v>
      </c>
      <c r="V29" s="28">
        <f t="shared" si="4"/>
        <v>84.17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177230</v>
      </c>
      <c r="C30" s="28">
        <v>0</v>
      </c>
      <c r="D30" s="28">
        <v>21413.440000000002</v>
      </c>
      <c r="E30" s="28">
        <v>79.11</v>
      </c>
      <c r="F30" s="28">
        <v>79.8</v>
      </c>
      <c r="G30" s="28">
        <f t="shared" si="0"/>
        <v>158.91</v>
      </c>
      <c r="H30" s="28">
        <v>0</v>
      </c>
      <c r="I30" s="28">
        <v>0</v>
      </c>
      <c r="J30" s="112">
        <v>164</v>
      </c>
      <c r="K30" s="28">
        <f t="shared" si="1"/>
        <v>-3.1036585365853679</v>
      </c>
      <c r="L30" s="28"/>
      <c r="M30" s="28"/>
      <c r="N30" s="28">
        <f t="shared" si="2"/>
        <v>9589.1824051349831</v>
      </c>
      <c r="O30" s="28" t="str">
        <f t="shared" si="3"/>
        <v/>
      </c>
      <c r="P30" s="28">
        <v>7.68</v>
      </c>
      <c r="Q30" s="28">
        <v>10.59</v>
      </c>
      <c r="R30" s="28">
        <v>19.45</v>
      </c>
      <c r="S30" s="28">
        <v>20.6</v>
      </c>
      <c r="T30" s="28">
        <v>20.6</v>
      </c>
      <c r="U30" s="28">
        <v>5.2</v>
      </c>
      <c r="V30" s="28">
        <f t="shared" si="4"/>
        <v>84.12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177060</v>
      </c>
      <c r="C31" s="28">
        <v>0</v>
      </c>
      <c r="D31" s="28">
        <v>22810.87</v>
      </c>
      <c r="E31" s="28">
        <v>78.89</v>
      </c>
      <c r="F31" s="28">
        <v>79.58</v>
      </c>
      <c r="G31" s="28">
        <f t="shared" si="0"/>
        <v>158.47</v>
      </c>
      <c r="H31" s="28">
        <v>0</v>
      </c>
      <c r="I31" s="28">
        <v>0</v>
      </c>
      <c r="J31" s="112">
        <v>164</v>
      </c>
      <c r="K31" s="28">
        <f t="shared" si="1"/>
        <v>-3.3719512195121957</v>
      </c>
      <c r="L31" s="28"/>
      <c r="M31" s="28"/>
      <c r="N31" s="28">
        <f t="shared" si="2"/>
        <v>9613.5210449927472</v>
      </c>
      <c r="O31" s="28" t="str">
        <f t="shared" si="3"/>
        <v/>
      </c>
      <c r="P31" s="28">
        <v>7.68</v>
      </c>
      <c r="Q31" s="28">
        <v>10.6</v>
      </c>
      <c r="R31" s="28">
        <v>19.45</v>
      </c>
      <c r="S31" s="28">
        <v>20.6</v>
      </c>
      <c r="T31" s="28">
        <v>20.6</v>
      </c>
      <c r="U31" s="28">
        <v>5.17</v>
      </c>
      <c r="V31" s="28">
        <f t="shared" si="4"/>
        <v>84.100000000000009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176520</v>
      </c>
      <c r="C32" s="28">
        <v>0</v>
      </c>
      <c r="D32" s="28">
        <v>21118.19</v>
      </c>
      <c r="E32" s="28">
        <v>78.64</v>
      </c>
      <c r="F32" s="28">
        <v>79.33</v>
      </c>
      <c r="G32" s="28">
        <f t="shared" si="0"/>
        <v>157.97</v>
      </c>
      <c r="H32" s="28">
        <v>0</v>
      </c>
      <c r="I32" s="28">
        <v>0</v>
      </c>
      <c r="J32" s="112">
        <v>164</v>
      </c>
      <c r="K32" s="28">
        <f t="shared" si="1"/>
        <v>-3.6768292682926838</v>
      </c>
      <c r="L32" s="28"/>
      <c r="M32" s="28"/>
      <c r="N32" s="28">
        <f t="shared" si="2"/>
        <v>9629.0419446730411</v>
      </c>
      <c r="O32" s="28" t="str">
        <f t="shared" si="3"/>
        <v/>
      </c>
      <c r="P32" s="28">
        <v>7.61</v>
      </c>
      <c r="Q32" s="28">
        <v>10.61</v>
      </c>
      <c r="R32" s="28">
        <v>19.440000000000001</v>
      </c>
      <c r="S32" s="28">
        <v>20.6</v>
      </c>
      <c r="T32" s="28">
        <v>20.6</v>
      </c>
      <c r="U32" s="28">
        <v>5.1100000000000003</v>
      </c>
      <c r="V32" s="28">
        <f t="shared" si="4"/>
        <v>83.97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176080</v>
      </c>
      <c r="C33" s="28">
        <v>0</v>
      </c>
      <c r="D33" s="28">
        <v>20162.260000000002</v>
      </c>
      <c r="E33" s="28">
        <v>78.47</v>
      </c>
      <c r="F33" s="28">
        <v>79.16</v>
      </c>
      <c r="G33" s="28">
        <f t="shared" si="0"/>
        <v>157.63</v>
      </c>
      <c r="H33" s="28">
        <v>0</v>
      </c>
      <c r="I33" s="28">
        <v>0</v>
      </c>
      <c r="J33" s="112">
        <v>164</v>
      </c>
      <c r="K33" s="28">
        <f t="shared" si="1"/>
        <v>-3.8841463414634174</v>
      </c>
      <c r="L33" s="28"/>
      <c r="M33" s="28"/>
      <c r="N33" s="28">
        <f t="shared" si="2"/>
        <v>9722.2107466852794</v>
      </c>
      <c r="O33" s="28" t="str">
        <f t="shared" si="3"/>
        <v/>
      </c>
      <c r="P33" s="28">
        <v>7.58</v>
      </c>
      <c r="Q33" s="28">
        <v>10.6</v>
      </c>
      <c r="R33" s="28">
        <v>19.46</v>
      </c>
      <c r="S33" s="28">
        <v>20.6</v>
      </c>
      <c r="T33" s="28">
        <v>20.6</v>
      </c>
      <c r="U33" s="28">
        <v>5.76</v>
      </c>
      <c r="V33" s="28">
        <f t="shared" si="4"/>
        <v>84.600000000000009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176350</v>
      </c>
      <c r="C34" s="28">
        <v>0</v>
      </c>
      <c r="D34" s="28">
        <v>20586.86</v>
      </c>
      <c r="E34" s="28">
        <v>78.650000000000006</v>
      </c>
      <c r="F34" s="28">
        <v>79.34</v>
      </c>
      <c r="G34" s="28">
        <f t="shared" si="0"/>
        <v>157.99</v>
      </c>
      <c r="H34" s="28">
        <v>0</v>
      </c>
      <c r="I34" s="28">
        <v>0</v>
      </c>
      <c r="J34" s="112">
        <v>164</v>
      </c>
      <c r="K34" s="28">
        <f t="shared" si="1"/>
        <v>-3.664634146341458</v>
      </c>
      <c r="L34" s="28"/>
      <c r="M34" s="28"/>
      <c r="N34" s="28">
        <f t="shared" si="2"/>
        <v>9705.7903664788919</v>
      </c>
      <c r="O34" s="28" t="str">
        <f t="shared" si="3"/>
        <v/>
      </c>
      <c r="P34" s="28">
        <v>7.57</v>
      </c>
      <c r="Q34" s="28">
        <v>10.6</v>
      </c>
      <c r="R34" s="28">
        <v>19.440000000000001</v>
      </c>
      <c r="S34" s="28">
        <v>20.6</v>
      </c>
      <c r="T34" s="28">
        <v>20.6</v>
      </c>
      <c r="U34" s="28">
        <v>5.84</v>
      </c>
      <c r="V34" s="28">
        <f t="shared" si="4"/>
        <v>84.65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176710</v>
      </c>
      <c r="C35" s="28">
        <v>0</v>
      </c>
      <c r="D35" s="28">
        <v>21847</v>
      </c>
      <c r="E35" s="28">
        <v>79.010000000000005</v>
      </c>
      <c r="F35" s="28">
        <v>79.7</v>
      </c>
      <c r="G35" s="28">
        <f t="shared" si="0"/>
        <v>158.71</v>
      </c>
      <c r="H35" s="28">
        <v>0</v>
      </c>
      <c r="I35" s="28">
        <v>0</v>
      </c>
      <c r="J35" s="112">
        <v>164</v>
      </c>
      <c r="K35" s="116">
        <f t="shared" si="1"/>
        <v>-3.2256097560975561</v>
      </c>
      <c r="L35" s="28"/>
      <c r="M35" s="28"/>
      <c r="N35" s="28">
        <f t="shared" si="2"/>
        <v>9661.7593094323001</v>
      </c>
      <c r="O35" s="28" t="str">
        <f t="shared" si="3"/>
        <v/>
      </c>
      <c r="P35" s="28">
        <v>7.68</v>
      </c>
      <c r="Q35" s="28">
        <v>10.58</v>
      </c>
      <c r="R35" s="28">
        <v>19.46</v>
      </c>
      <c r="S35" s="28">
        <v>20.6</v>
      </c>
      <c r="T35" s="28">
        <v>20.6</v>
      </c>
      <c r="U35" s="28">
        <v>5.73</v>
      </c>
      <c r="V35" s="28">
        <f t="shared" si="4"/>
        <v>84.65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4215620</v>
      </c>
      <c r="C36" s="35">
        <f t="shared" ref="C36:J36" si="5">SUM(C12:C35)</f>
        <v>63.43</v>
      </c>
      <c r="D36" s="35">
        <f t="shared" si="5"/>
        <v>277972.12000000005</v>
      </c>
      <c r="E36" s="35">
        <f t="shared" si="5"/>
        <v>1883.4200000000003</v>
      </c>
      <c r="F36" s="35">
        <f t="shared" si="5"/>
        <v>1899.9300000000005</v>
      </c>
      <c r="G36" s="35">
        <f t="shared" si="5"/>
        <v>3783.3499999999995</v>
      </c>
      <c r="H36" s="35">
        <f t="shared" si="5"/>
        <v>0</v>
      </c>
      <c r="I36" s="35">
        <f t="shared" si="5"/>
        <v>0</v>
      </c>
      <c r="J36" s="35">
        <f t="shared" si="5"/>
        <v>3903</v>
      </c>
      <c r="K36" s="36"/>
      <c r="L36" s="37"/>
      <c r="M36" s="38"/>
      <c r="N36" s="35">
        <f>IFERROR(AVERAGE(N12:N35),"")</f>
        <v>9662.229319362219</v>
      </c>
      <c r="O36" s="39">
        <f t="shared" ref="O36:U36" si="6">SUM(O12:O35)</f>
        <v>0</v>
      </c>
      <c r="P36" s="39">
        <f t="shared" si="6"/>
        <v>193.72000000000006</v>
      </c>
      <c r="Q36" s="39">
        <f t="shared" si="6"/>
        <v>265.73999999999995</v>
      </c>
      <c r="R36" s="39">
        <f t="shared" si="6"/>
        <v>459.31999999999994</v>
      </c>
      <c r="S36" s="39">
        <f t="shared" si="6"/>
        <v>486.91</v>
      </c>
      <c r="T36" s="39">
        <f t="shared" si="6"/>
        <v>486.84000000000009</v>
      </c>
      <c r="U36" s="39">
        <f t="shared" si="6"/>
        <v>125.31000000000002</v>
      </c>
      <c r="V36" s="39">
        <f>SUM(V12:V35)</f>
        <v>2017.8400000000004</v>
      </c>
      <c r="W36" s="40">
        <f>SUM(W12:W35)</f>
        <v>0</v>
      </c>
      <c r="X36" s="40"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X36</f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0</v>
      </c>
      <c r="J41" s="41"/>
      <c r="K41" s="13" t="s">
        <v>59</v>
      </c>
      <c r="L41" s="113">
        <v>427414.40000003576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1</v>
      </c>
      <c r="B42" s="57">
        <v>0</v>
      </c>
      <c r="C42" s="57">
        <v>0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183391.20999999344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>
        <f>IFERROR(3412.14/N36,"")</f>
        <v>0.35314210491386133</v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17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Juan C. Jaramillo Sampayo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2345.65</v>
      </c>
      <c r="D58" s="81">
        <v>0</v>
      </c>
      <c r="E58" s="82">
        <v>0</v>
      </c>
      <c r="F58" s="83">
        <v>4889.72</v>
      </c>
      <c r="G58" s="82">
        <v>0</v>
      </c>
      <c r="H58" s="84">
        <f t="shared" ref="H58:H81" si="7">IF(G58=0,0,100*(E58-G58)/G58)</f>
        <v>0</v>
      </c>
      <c r="I58" s="85"/>
      <c r="J58" s="85"/>
      <c r="K58" s="86" t="str">
        <f t="shared" ref="K58:K81" si="8">IFERROR(U58*1000*2.2*$K$92/E58/1000,"")</f>
        <v/>
      </c>
      <c r="L58" s="87"/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2349.4699999999998</v>
      </c>
      <c r="D59" s="81">
        <v>0</v>
      </c>
      <c r="E59" s="82">
        <v>0</v>
      </c>
      <c r="F59" s="82">
        <v>4882.58</v>
      </c>
      <c r="G59" s="82">
        <v>0</v>
      </c>
      <c r="H59" s="91">
        <f t="shared" si="7"/>
        <v>0</v>
      </c>
      <c r="I59" s="85"/>
      <c r="J59" s="85"/>
      <c r="K59" s="86" t="str">
        <f t="shared" si="8"/>
        <v/>
      </c>
      <c r="L59" s="87" t="str">
        <f t="shared" ref="L59:L81" si="9">IF(OR(H59&gt;5,H59&lt;-5),E59-G59,"")</f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10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2371.21</v>
      </c>
      <c r="D60" s="81">
        <v>0</v>
      </c>
      <c r="E60" s="82">
        <v>0</v>
      </c>
      <c r="F60" s="82">
        <v>4800.57</v>
      </c>
      <c r="G60" s="82">
        <v>0</v>
      </c>
      <c r="H60" s="91">
        <f t="shared" si="7"/>
        <v>0</v>
      </c>
      <c r="I60" s="85"/>
      <c r="J60" s="85"/>
      <c r="K60" s="86" t="str">
        <f t="shared" si="8"/>
        <v/>
      </c>
      <c r="L60" s="87" t="str">
        <f t="shared" si="9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10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2365.17</v>
      </c>
      <c r="D61" s="81">
        <v>0</v>
      </c>
      <c r="E61" s="82">
        <v>0</v>
      </c>
      <c r="F61" s="82">
        <v>4812.6499999999996</v>
      </c>
      <c r="G61" s="82">
        <v>0</v>
      </c>
      <c r="H61" s="91">
        <f t="shared" si="7"/>
        <v>0</v>
      </c>
      <c r="I61" s="85"/>
      <c r="J61" s="85"/>
      <c r="K61" s="86" t="str">
        <f t="shared" si="8"/>
        <v/>
      </c>
      <c r="L61" s="87" t="str">
        <f t="shared" si="9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10"/>
        <v>0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2357.86</v>
      </c>
      <c r="D62" s="81">
        <v>0</v>
      </c>
      <c r="E62" s="82">
        <v>0</v>
      </c>
      <c r="F62" s="82">
        <v>4824.6400000000003</v>
      </c>
      <c r="G62" s="82">
        <v>0</v>
      </c>
      <c r="H62" s="91">
        <f t="shared" si="7"/>
        <v>0</v>
      </c>
      <c r="I62" s="85"/>
      <c r="J62" s="85"/>
      <c r="K62" s="86" t="str">
        <f t="shared" si="8"/>
        <v/>
      </c>
      <c r="L62" s="87" t="str">
        <f t="shared" si="9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10"/>
        <v>0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2368.08</v>
      </c>
      <c r="D63" s="81">
        <v>0</v>
      </c>
      <c r="E63" s="82">
        <v>0</v>
      </c>
      <c r="F63" s="82">
        <v>4813.12</v>
      </c>
      <c r="G63" s="82">
        <v>0</v>
      </c>
      <c r="H63" s="91">
        <f t="shared" si="7"/>
        <v>0</v>
      </c>
      <c r="I63" s="85"/>
      <c r="J63" s="85"/>
      <c r="K63" s="86" t="str">
        <f t="shared" si="8"/>
        <v/>
      </c>
      <c r="L63" s="87" t="str">
        <f t="shared" si="9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10"/>
        <v>0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2346.4499999999998</v>
      </c>
      <c r="D64" s="81">
        <v>0</v>
      </c>
      <c r="E64" s="82">
        <v>0</v>
      </c>
      <c r="F64" s="82">
        <v>4865.08</v>
      </c>
      <c r="G64" s="82">
        <v>0</v>
      </c>
      <c r="H64" s="91">
        <f t="shared" si="7"/>
        <v>0</v>
      </c>
      <c r="I64" s="85"/>
      <c r="J64" s="85"/>
      <c r="K64" s="86" t="str">
        <f t="shared" si="8"/>
        <v/>
      </c>
      <c r="L64" s="87" t="str">
        <f t="shared" si="9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10"/>
        <v>0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2108.37</v>
      </c>
      <c r="D65" s="81">
        <v>0</v>
      </c>
      <c r="E65" s="82">
        <v>0</v>
      </c>
      <c r="F65" s="82">
        <v>5333.67</v>
      </c>
      <c r="G65" s="82">
        <v>0</v>
      </c>
      <c r="H65" s="91">
        <f t="shared" si="7"/>
        <v>0</v>
      </c>
      <c r="I65" s="85"/>
      <c r="J65" s="85"/>
      <c r="K65" s="86" t="str">
        <f t="shared" si="8"/>
        <v/>
      </c>
      <c r="L65" s="87" t="str">
        <f t="shared" si="9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10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2188.8000000000002</v>
      </c>
      <c r="D66" s="81">
        <v>0</v>
      </c>
      <c r="E66" s="82">
        <v>0</v>
      </c>
      <c r="F66" s="82">
        <v>5108.74</v>
      </c>
      <c r="G66" s="82">
        <v>0</v>
      </c>
      <c r="H66" s="91">
        <f t="shared" si="7"/>
        <v>0</v>
      </c>
      <c r="I66" s="85"/>
      <c r="J66" s="85"/>
      <c r="K66" s="86" t="str">
        <f t="shared" si="8"/>
        <v/>
      </c>
      <c r="L66" s="87" t="str">
        <f t="shared" si="9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10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2228.9499999999998</v>
      </c>
      <c r="D67" s="81">
        <v>0</v>
      </c>
      <c r="E67" s="82">
        <v>0</v>
      </c>
      <c r="F67" s="82">
        <v>5011.3999999999996</v>
      </c>
      <c r="G67" s="82">
        <v>0</v>
      </c>
      <c r="H67" s="91">
        <f t="shared" si="7"/>
        <v>0</v>
      </c>
      <c r="I67" s="85"/>
      <c r="J67" s="85"/>
      <c r="K67" s="86" t="str">
        <f t="shared" si="8"/>
        <v/>
      </c>
      <c r="L67" s="87" t="str">
        <f t="shared" si="9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10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2310.7199999999998</v>
      </c>
      <c r="D68" s="81">
        <v>0</v>
      </c>
      <c r="E68" s="82">
        <v>0</v>
      </c>
      <c r="F68" s="82">
        <v>4847.07</v>
      </c>
      <c r="G68" s="82">
        <v>0</v>
      </c>
      <c r="H68" s="91">
        <f t="shared" si="7"/>
        <v>0</v>
      </c>
      <c r="I68" s="85"/>
      <c r="K68" s="86" t="str">
        <f t="shared" si="8"/>
        <v/>
      </c>
      <c r="L68" s="87" t="str">
        <f t="shared" si="9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10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2334.69</v>
      </c>
      <c r="D69" s="81">
        <v>0</v>
      </c>
      <c r="E69" s="82">
        <v>0</v>
      </c>
      <c r="F69" s="82">
        <v>4844.54</v>
      </c>
      <c r="G69" s="82">
        <v>0</v>
      </c>
      <c r="H69" s="91">
        <f t="shared" si="7"/>
        <v>0</v>
      </c>
      <c r="I69" s="85"/>
      <c r="J69" s="85"/>
      <c r="K69" s="86" t="str">
        <f t="shared" si="8"/>
        <v/>
      </c>
      <c r="L69" s="87" t="str">
        <f t="shared" si="9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10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2343.34</v>
      </c>
      <c r="D70" s="81">
        <v>0</v>
      </c>
      <c r="E70" s="82">
        <v>0</v>
      </c>
      <c r="F70" s="82">
        <v>4835.6400000000003</v>
      </c>
      <c r="G70" s="82">
        <v>0</v>
      </c>
      <c r="H70" s="91">
        <f t="shared" si="7"/>
        <v>0</v>
      </c>
      <c r="I70" s="85"/>
      <c r="J70" s="85"/>
      <c r="K70" s="86" t="str">
        <f t="shared" si="8"/>
        <v/>
      </c>
      <c r="L70" s="87" t="str">
        <f t="shared" si="9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10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2318.42</v>
      </c>
      <c r="D71" s="81">
        <v>0</v>
      </c>
      <c r="E71" s="82">
        <v>0</v>
      </c>
      <c r="F71" s="82">
        <v>4990.07</v>
      </c>
      <c r="G71" s="82">
        <v>0</v>
      </c>
      <c r="H71" s="91">
        <f t="shared" si="7"/>
        <v>0</v>
      </c>
      <c r="I71" s="85"/>
      <c r="J71" s="85"/>
      <c r="K71" s="86" t="str">
        <f t="shared" si="8"/>
        <v/>
      </c>
      <c r="L71" s="87" t="str">
        <f t="shared" si="9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10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2292.65</v>
      </c>
      <c r="D72" s="81">
        <v>0</v>
      </c>
      <c r="E72" s="82">
        <v>0</v>
      </c>
      <c r="F72" s="82">
        <v>5072.95</v>
      </c>
      <c r="G72" s="82">
        <v>0</v>
      </c>
      <c r="H72" s="91">
        <f t="shared" si="7"/>
        <v>0</v>
      </c>
      <c r="I72" s="85"/>
      <c r="J72" s="85"/>
      <c r="K72" s="86" t="str">
        <f t="shared" si="8"/>
        <v/>
      </c>
      <c r="L72" s="87" t="str">
        <f t="shared" si="9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10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2337.4499999999998</v>
      </c>
      <c r="D73" s="81">
        <v>0</v>
      </c>
      <c r="E73" s="82">
        <v>0</v>
      </c>
      <c r="F73" s="82">
        <v>4936.05</v>
      </c>
      <c r="G73" s="82">
        <v>0</v>
      </c>
      <c r="H73" s="91">
        <f t="shared" si="7"/>
        <v>0</v>
      </c>
      <c r="I73" s="85"/>
      <c r="J73" s="85"/>
      <c r="K73" s="86" t="str">
        <f t="shared" si="8"/>
        <v/>
      </c>
      <c r="L73" s="87" t="str">
        <f t="shared" si="9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10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2257.84</v>
      </c>
      <c r="D74" s="81">
        <v>0</v>
      </c>
      <c r="E74" s="82">
        <v>0</v>
      </c>
      <c r="F74" s="82">
        <v>5064.5200000000004</v>
      </c>
      <c r="G74" s="82">
        <v>0</v>
      </c>
      <c r="H74" s="91">
        <f t="shared" si="7"/>
        <v>0</v>
      </c>
      <c r="I74" s="85"/>
      <c r="J74" s="85"/>
      <c r="K74" s="86" t="str">
        <f t="shared" si="8"/>
        <v/>
      </c>
      <c r="L74" s="87" t="str">
        <f t="shared" si="9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10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2283.71</v>
      </c>
      <c r="D75" s="81">
        <v>0</v>
      </c>
      <c r="E75" s="82">
        <v>0</v>
      </c>
      <c r="F75" s="82">
        <v>5040.59</v>
      </c>
      <c r="G75" s="82">
        <v>0</v>
      </c>
      <c r="H75" s="91">
        <f t="shared" si="7"/>
        <v>0</v>
      </c>
      <c r="I75" s="85"/>
      <c r="J75" s="85"/>
      <c r="K75" s="86" t="str">
        <f t="shared" si="8"/>
        <v/>
      </c>
      <c r="L75" s="87" t="str">
        <f t="shared" si="9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10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2346.5</v>
      </c>
      <c r="D76" s="81">
        <v>0</v>
      </c>
      <c r="E76" s="82">
        <v>0</v>
      </c>
      <c r="F76" s="82">
        <v>4946.7700000000004</v>
      </c>
      <c r="G76" s="82">
        <v>0</v>
      </c>
      <c r="H76" s="91">
        <f t="shared" si="7"/>
        <v>0</v>
      </c>
      <c r="I76" s="85"/>
      <c r="J76" s="85"/>
      <c r="K76" s="86" t="str">
        <f t="shared" si="8"/>
        <v/>
      </c>
      <c r="L76" s="87" t="str">
        <f t="shared" si="9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10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2334.1</v>
      </c>
      <c r="D77" s="81">
        <v>0</v>
      </c>
      <c r="E77" s="82">
        <v>0</v>
      </c>
      <c r="F77" s="82">
        <v>4977.1000000000004</v>
      </c>
      <c r="G77" s="82">
        <v>0</v>
      </c>
      <c r="H77" s="91">
        <f t="shared" si="7"/>
        <v>0</v>
      </c>
      <c r="I77" s="85"/>
      <c r="J77" s="85"/>
      <c r="K77" s="86" t="str">
        <f t="shared" si="8"/>
        <v/>
      </c>
      <c r="L77" s="87" t="str">
        <f t="shared" si="9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10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2327.66</v>
      </c>
      <c r="D78" s="81">
        <v>0</v>
      </c>
      <c r="E78" s="82">
        <v>0</v>
      </c>
      <c r="F78" s="82">
        <v>4967.97</v>
      </c>
      <c r="G78" s="82">
        <v>0</v>
      </c>
      <c r="H78" s="91">
        <f t="shared" si="7"/>
        <v>0</v>
      </c>
      <c r="I78" s="85"/>
      <c r="J78" s="85"/>
      <c r="K78" s="86" t="str">
        <f t="shared" si="8"/>
        <v/>
      </c>
      <c r="L78" s="87" t="str">
        <f t="shared" si="9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0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2342.91</v>
      </c>
      <c r="D79" s="81">
        <v>0</v>
      </c>
      <c r="E79" s="82">
        <v>0</v>
      </c>
      <c r="F79" s="82">
        <v>4949.6499999999996</v>
      </c>
      <c r="G79" s="82">
        <v>0</v>
      </c>
      <c r="H79" s="91">
        <f t="shared" si="7"/>
        <v>0</v>
      </c>
      <c r="I79" s="85"/>
      <c r="J79" s="85"/>
      <c r="K79" s="86" t="str">
        <f t="shared" si="8"/>
        <v/>
      </c>
      <c r="L79" s="87" t="str">
        <f t="shared" si="9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0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2347.4</v>
      </c>
      <c r="D80" s="81">
        <v>0</v>
      </c>
      <c r="E80" s="82">
        <v>0</v>
      </c>
      <c r="F80" s="82">
        <v>4932.1899999999996</v>
      </c>
      <c r="G80" s="82">
        <v>0</v>
      </c>
      <c r="H80" s="91">
        <f t="shared" si="7"/>
        <v>0</v>
      </c>
      <c r="I80" s="85"/>
      <c r="J80" s="85"/>
      <c r="K80" s="86" t="str">
        <f t="shared" si="8"/>
        <v/>
      </c>
      <c r="L80" s="87" t="str">
        <f t="shared" si="9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0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2257.23</v>
      </c>
      <c r="D81" s="28">
        <v>0</v>
      </c>
      <c r="E81" s="96">
        <v>0</v>
      </c>
      <c r="F81" s="97">
        <v>5121.3999999999996</v>
      </c>
      <c r="G81" s="82">
        <v>0</v>
      </c>
      <c r="H81" s="98">
        <f t="shared" si="7"/>
        <v>0</v>
      </c>
      <c r="I81" s="115"/>
      <c r="J81" s="85"/>
      <c r="K81" s="99" t="str">
        <f t="shared" si="8"/>
        <v/>
      </c>
      <c r="L81" s="87" t="str">
        <f t="shared" si="9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0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1">SUM(B58:B81)</f>
        <v>0</v>
      </c>
      <c r="C82" s="35">
        <f t="shared" si="11"/>
        <v>55464.630000000005</v>
      </c>
      <c r="D82" s="35">
        <f t="shared" si="11"/>
        <v>0</v>
      </c>
      <c r="E82" s="35">
        <f t="shared" si="11"/>
        <v>0</v>
      </c>
      <c r="F82" s="101">
        <f t="shared" si="11"/>
        <v>118868.68</v>
      </c>
      <c r="G82" s="35">
        <f t="shared" si="11"/>
        <v>0</v>
      </c>
      <c r="H82" s="102"/>
      <c r="I82" s="103"/>
      <c r="J82" s="104"/>
      <c r="K82" s="105" t="str">
        <f>IFERROR(AVERAGE(K58:K81),"")</f>
        <v/>
      </c>
      <c r="L82" s="40">
        <f t="shared" ref="L82:U82" si="12">SUM(L58:L81)</f>
        <v>0</v>
      </c>
      <c r="M82" s="40">
        <f t="shared" si="12"/>
        <v>0</v>
      </c>
      <c r="N82" s="39">
        <f t="shared" si="12"/>
        <v>0</v>
      </c>
      <c r="O82" s="39">
        <f t="shared" si="12"/>
        <v>0</v>
      </c>
      <c r="P82" s="39">
        <f t="shared" si="12"/>
        <v>0</v>
      </c>
      <c r="Q82" s="39">
        <f t="shared" si="12"/>
        <v>0</v>
      </c>
      <c r="R82" s="39">
        <f t="shared" si="12"/>
        <v>0</v>
      </c>
      <c r="S82" s="39">
        <f t="shared" si="12"/>
        <v>0</v>
      </c>
      <c r="T82" s="39">
        <f t="shared" si="12"/>
        <v>0</v>
      </c>
      <c r="U82" s="39">
        <f t="shared" si="12"/>
        <v>0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118868.68</v>
      </c>
      <c r="J87" s="41"/>
      <c r="K87" s="62" t="s">
        <v>59</v>
      </c>
      <c r="L87" s="113">
        <v>6094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</v>
      </c>
      <c r="B88" s="57">
        <v>0</v>
      </c>
      <c r="C88" s="57">
        <v>1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2670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 t="str">
        <f>IFERROR(3412.14/K82,"")</f>
        <v/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A1:C1"/>
    <mergeCell ref="D1:U2"/>
    <mergeCell ref="V1:X4"/>
    <mergeCell ref="A2:C2"/>
    <mergeCell ref="A3:C3"/>
    <mergeCell ref="D3:U4"/>
    <mergeCell ref="A4:C4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39:A40"/>
    <mergeCell ref="B39:B40"/>
    <mergeCell ref="C39:C40"/>
    <mergeCell ref="D39:D40"/>
    <mergeCell ref="H39:I40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H41:H42"/>
    <mergeCell ref="I41:I42"/>
    <mergeCell ref="K44:L44"/>
    <mergeCell ref="C45:I46"/>
    <mergeCell ref="K45:L45"/>
    <mergeCell ref="K46:L4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A85:A86"/>
    <mergeCell ref="B85:B86"/>
    <mergeCell ref="C85:C86"/>
    <mergeCell ref="D85:D86"/>
    <mergeCell ref="H85:I86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K90:L90"/>
    <mergeCell ref="B91:B92"/>
    <mergeCell ref="C91:I92"/>
    <mergeCell ref="K91:L91"/>
    <mergeCell ref="K92:L9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D7F1-5797-4C28-A1D2-CF5668FCDB18}">
  <dimension ref="A1:Z109"/>
  <sheetViews>
    <sheetView topLeftCell="G6" zoomScale="85" zoomScaleNormal="85" workbookViewId="0">
      <selection activeCell="R91" sqref="R91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18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100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176710</v>
      </c>
      <c r="C12" s="28">
        <v>0</v>
      </c>
      <c r="D12" s="28">
        <v>20364.68</v>
      </c>
      <c r="E12" s="28">
        <v>79</v>
      </c>
      <c r="F12" s="28">
        <v>79.69</v>
      </c>
      <c r="G12" s="28">
        <f>+E12+F12</f>
        <v>158.69</v>
      </c>
      <c r="H12" s="28">
        <v>0</v>
      </c>
      <c r="I12" s="28">
        <v>0</v>
      </c>
      <c r="J12" s="112">
        <v>164</v>
      </c>
      <c r="K12" s="28">
        <f t="shared" ref="K12:K35" si="0">IF(J12=0,0,100*(G12-J12)/J12)</f>
        <v>-3.2378048780487818</v>
      </c>
      <c r="L12" s="28"/>
      <c r="M12" s="28"/>
      <c r="N12" s="28">
        <f t="shared" ref="N12:N35" si="1">IFERROR(V12*1000*2.2*$K$46/G12/1000,"")</f>
        <v>9662.9769991807934</v>
      </c>
      <c r="O12" s="28" t="str">
        <f t="shared" ref="O12:O35" si="2">IF(OR(K12&gt;5,K12&lt;-5),G12-J12,"")</f>
        <v/>
      </c>
      <c r="P12" s="28">
        <v>7.68</v>
      </c>
      <c r="Q12" s="28">
        <v>10.58</v>
      </c>
      <c r="R12" s="28">
        <v>19.46</v>
      </c>
      <c r="S12" s="28">
        <v>20.6</v>
      </c>
      <c r="T12" s="28">
        <v>20.6</v>
      </c>
      <c r="U12" s="28">
        <v>5.73</v>
      </c>
      <c r="V12" s="28">
        <f t="shared" ref="V12:V35" si="3">+SUM(P12:U12)</f>
        <v>84.65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176880</v>
      </c>
      <c r="C13" s="28">
        <v>0</v>
      </c>
      <c r="D13" s="28">
        <v>21398.16</v>
      </c>
      <c r="E13" s="28">
        <v>79.13</v>
      </c>
      <c r="F13" s="28">
        <v>79.819999999999993</v>
      </c>
      <c r="G13" s="28">
        <f t="shared" ref="G13:G35" si="4">+E13+F13</f>
        <v>158.94999999999999</v>
      </c>
      <c r="H13" s="28">
        <v>0</v>
      </c>
      <c r="I13" s="28">
        <v>0</v>
      </c>
      <c r="J13" s="112">
        <v>164</v>
      </c>
      <c r="K13" s="28">
        <f t="shared" si="0"/>
        <v>-3.0792682926829338</v>
      </c>
      <c r="L13" s="28"/>
      <c r="M13" s="28"/>
      <c r="N13" s="28">
        <f t="shared" si="1"/>
        <v>9652.8692041522518</v>
      </c>
      <c r="O13" s="28" t="str">
        <f t="shared" si="2"/>
        <v/>
      </c>
      <c r="P13" s="28">
        <v>7.77</v>
      </c>
      <c r="Q13" s="28">
        <v>10.59</v>
      </c>
      <c r="R13" s="28">
        <v>19.46</v>
      </c>
      <c r="S13" s="28">
        <v>20.6</v>
      </c>
      <c r="T13" s="28">
        <v>20.6</v>
      </c>
      <c r="U13" s="28">
        <v>5.68</v>
      </c>
      <c r="V13" s="28">
        <f t="shared" si="3"/>
        <v>84.700000000000017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177100</v>
      </c>
      <c r="C14" s="28">
        <v>0</v>
      </c>
      <c r="D14" s="28">
        <v>22603.759999999998</v>
      </c>
      <c r="E14" s="28">
        <v>78.760000000000005</v>
      </c>
      <c r="F14" s="28">
        <v>79.44</v>
      </c>
      <c r="G14" s="28">
        <f t="shared" si="4"/>
        <v>158.19999999999999</v>
      </c>
      <c r="H14" s="28">
        <v>0</v>
      </c>
      <c r="I14" s="28">
        <v>0</v>
      </c>
      <c r="J14" s="112">
        <v>164</v>
      </c>
      <c r="K14" s="28">
        <f t="shared" si="0"/>
        <v>-3.5365853658536657</v>
      </c>
      <c r="L14" s="28"/>
      <c r="M14" s="28"/>
      <c r="N14" s="28">
        <f t="shared" si="1"/>
        <v>9723.8231099873592</v>
      </c>
      <c r="O14" s="28" t="str">
        <f t="shared" si="2"/>
        <v/>
      </c>
      <c r="P14" s="28">
        <v>7.86</v>
      </c>
      <c r="Q14" s="28">
        <v>10.61</v>
      </c>
      <c r="R14" s="28">
        <v>19.46</v>
      </c>
      <c r="S14" s="28">
        <v>20.6</v>
      </c>
      <c r="T14" s="28">
        <v>20.6</v>
      </c>
      <c r="U14" s="28">
        <v>5.79</v>
      </c>
      <c r="V14" s="28">
        <f t="shared" si="3"/>
        <v>84.92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176200</v>
      </c>
      <c r="C15" s="28">
        <v>0</v>
      </c>
      <c r="D15" s="28">
        <v>22441.449999999997</v>
      </c>
      <c r="E15" s="28">
        <v>78.53</v>
      </c>
      <c r="F15" s="28">
        <v>79.209999999999994</v>
      </c>
      <c r="G15" s="28">
        <f t="shared" si="4"/>
        <v>157.74</v>
      </c>
      <c r="H15" s="28">
        <v>0</v>
      </c>
      <c r="I15" s="28">
        <v>0</v>
      </c>
      <c r="J15" s="112">
        <v>164</v>
      </c>
      <c r="K15" s="28">
        <f t="shared" si="0"/>
        <v>-3.8170731707317018</v>
      </c>
      <c r="L15" s="28"/>
      <c r="M15" s="28"/>
      <c r="N15" s="28">
        <f t="shared" si="1"/>
        <v>9761.3668061366807</v>
      </c>
      <c r="O15" s="28" t="str">
        <f t="shared" si="2"/>
        <v/>
      </c>
      <c r="P15" s="28">
        <v>7.86</v>
      </c>
      <c r="Q15" s="28">
        <v>10.6</v>
      </c>
      <c r="R15" s="28">
        <v>19.45</v>
      </c>
      <c r="S15" s="28">
        <v>20.6</v>
      </c>
      <c r="T15" s="28">
        <v>20.6</v>
      </c>
      <c r="U15" s="28">
        <v>5.89</v>
      </c>
      <c r="V15" s="28">
        <f t="shared" si="3"/>
        <v>85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175820</v>
      </c>
      <c r="C16" s="28">
        <v>0</v>
      </c>
      <c r="D16" s="28">
        <v>21201.279999999999</v>
      </c>
      <c r="E16" s="28">
        <v>78.5</v>
      </c>
      <c r="F16" s="28">
        <v>79.19</v>
      </c>
      <c r="G16" s="28">
        <f t="shared" si="4"/>
        <v>157.69</v>
      </c>
      <c r="H16" s="28">
        <v>0</v>
      </c>
      <c r="I16" s="28">
        <v>0</v>
      </c>
      <c r="J16" s="112">
        <v>164</v>
      </c>
      <c r="K16" s="28">
        <f t="shared" si="0"/>
        <v>-3.8475609756097575</v>
      </c>
      <c r="L16" s="28"/>
      <c r="M16" s="28"/>
      <c r="N16" s="28">
        <f t="shared" si="1"/>
        <v>9813.8586086625673</v>
      </c>
      <c r="O16" s="28" t="str">
        <f t="shared" si="2"/>
        <v/>
      </c>
      <c r="P16" s="28">
        <v>8.15</v>
      </c>
      <c r="Q16" s="28">
        <v>10.6</v>
      </c>
      <c r="R16" s="28">
        <v>19.45</v>
      </c>
      <c r="S16" s="28">
        <v>20.6</v>
      </c>
      <c r="T16" s="28">
        <v>20.6</v>
      </c>
      <c r="U16" s="28">
        <v>6.03</v>
      </c>
      <c r="V16" s="28">
        <f t="shared" si="3"/>
        <v>85.43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176110</v>
      </c>
      <c r="C17" s="28">
        <v>0</v>
      </c>
      <c r="D17" s="28">
        <v>21269.25</v>
      </c>
      <c r="E17" s="28">
        <v>78.430000000000007</v>
      </c>
      <c r="F17" s="28">
        <v>79.11</v>
      </c>
      <c r="G17" s="28">
        <f t="shared" si="4"/>
        <v>157.54000000000002</v>
      </c>
      <c r="H17" s="28">
        <v>0</v>
      </c>
      <c r="I17" s="28">
        <v>0</v>
      </c>
      <c r="J17" s="112">
        <v>164</v>
      </c>
      <c r="K17" s="28">
        <f t="shared" si="0"/>
        <v>-3.93902439024389</v>
      </c>
      <c r="L17" s="28"/>
      <c r="M17" s="28"/>
      <c r="N17" s="28">
        <f t="shared" si="1"/>
        <v>9896.7934238923444</v>
      </c>
      <c r="O17" s="28" t="str">
        <f t="shared" si="2"/>
        <v/>
      </c>
      <c r="P17" s="28">
        <v>8.67</v>
      </c>
      <c r="Q17" s="28">
        <v>10.61</v>
      </c>
      <c r="R17" s="28">
        <v>19.46</v>
      </c>
      <c r="S17" s="28">
        <v>20.6</v>
      </c>
      <c r="T17" s="28">
        <v>20.6</v>
      </c>
      <c r="U17" s="28">
        <v>6.13</v>
      </c>
      <c r="V17" s="28">
        <f t="shared" si="3"/>
        <v>86.07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175980</v>
      </c>
      <c r="C18" s="28">
        <v>0</v>
      </c>
      <c r="D18" s="28">
        <v>22499.010000000002</v>
      </c>
      <c r="E18" s="28">
        <v>78.56</v>
      </c>
      <c r="F18" s="28">
        <v>79.23</v>
      </c>
      <c r="G18" s="28">
        <f t="shared" si="4"/>
        <v>157.79000000000002</v>
      </c>
      <c r="H18" s="28">
        <v>0</v>
      </c>
      <c r="I18" s="28">
        <v>0</v>
      </c>
      <c r="J18" s="112">
        <v>164</v>
      </c>
      <c r="K18" s="28">
        <f t="shared" si="0"/>
        <v>-3.7865853658536461</v>
      </c>
      <c r="L18" s="28"/>
      <c r="M18" s="28"/>
      <c r="N18" s="28">
        <f t="shared" si="1"/>
        <v>9848.9681982381644</v>
      </c>
      <c r="O18" s="28" t="str">
        <f t="shared" si="2"/>
        <v/>
      </c>
      <c r="P18" s="28">
        <v>8.48</v>
      </c>
      <c r="Q18" s="28">
        <v>10.59</v>
      </c>
      <c r="R18" s="28">
        <v>19.46</v>
      </c>
      <c r="S18" s="28">
        <v>20.6</v>
      </c>
      <c r="T18" s="28">
        <v>20.6</v>
      </c>
      <c r="U18" s="28">
        <v>6.06</v>
      </c>
      <c r="V18" s="28">
        <f t="shared" si="3"/>
        <v>85.79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176210</v>
      </c>
      <c r="C19" s="28">
        <v>0</v>
      </c>
      <c r="D19" s="28">
        <v>21561.77</v>
      </c>
      <c r="E19" s="28">
        <v>78.12</v>
      </c>
      <c r="F19" s="28">
        <v>78.790000000000006</v>
      </c>
      <c r="G19" s="28">
        <f t="shared" si="4"/>
        <v>156.91000000000003</v>
      </c>
      <c r="H19" s="28">
        <v>0</v>
      </c>
      <c r="I19" s="28">
        <v>0</v>
      </c>
      <c r="J19" s="112">
        <v>164</v>
      </c>
      <c r="K19" s="28">
        <f t="shared" si="0"/>
        <v>-4.323170731707302</v>
      </c>
      <c r="L19" s="28"/>
      <c r="M19" s="28"/>
      <c r="N19" s="28">
        <f t="shared" si="1"/>
        <v>9941.147332865974</v>
      </c>
      <c r="O19" s="28" t="str">
        <f t="shared" si="2"/>
        <v/>
      </c>
      <c r="P19" s="28">
        <v>8.91</v>
      </c>
      <c r="Q19" s="28">
        <v>10.58</v>
      </c>
      <c r="R19" s="28">
        <v>19.43</v>
      </c>
      <c r="S19" s="28">
        <v>20.58</v>
      </c>
      <c r="T19" s="28">
        <v>20.58</v>
      </c>
      <c r="U19" s="28">
        <v>6.03</v>
      </c>
      <c r="V19" s="28">
        <f t="shared" si="3"/>
        <v>86.11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175350</v>
      </c>
      <c r="C20" s="28">
        <v>0</v>
      </c>
      <c r="D20" s="28">
        <v>21073.940000000002</v>
      </c>
      <c r="E20" s="28">
        <v>78.39</v>
      </c>
      <c r="F20" s="28">
        <v>79.06</v>
      </c>
      <c r="G20" s="28">
        <f t="shared" si="4"/>
        <v>157.44999999999999</v>
      </c>
      <c r="H20" s="28">
        <v>0</v>
      </c>
      <c r="I20" s="28">
        <v>0</v>
      </c>
      <c r="J20" s="112">
        <v>164</v>
      </c>
      <c r="K20" s="28">
        <f t="shared" si="0"/>
        <v>-3.9939024390243971</v>
      </c>
      <c r="L20" s="28"/>
      <c r="M20" s="28"/>
      <c r="N20" s="28">
        <f t="shared" si="1"/>
        <v>9874.838259765007</v>
      </c>
      <c r="O20" s="28" t="str">
        <f t="shared" si="2"/>
        <v/>
      </c>
      <c r="P20" s="28">
        <v>9</v>
      </c>
      <c r="Q20" s="28">
        <v>10.5</v>
      </c>
      <c r="R20" s="28">
        <v>19.350000000000001</v>
      </c>
      <c r="S20" s="28">
        <v>20.5</v>
      </c>
      <c r="T20" s="28">
        <v>20.5</v>
      </c>
      <c r="U20" s="28">
        <v>5.98</v>
      </c>
      <c r="V20" s="28">
        <f t="shared" si="3"/>
        <v>85.83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176130</v>
      </c>
      <c r="C21" s="28">
        <v>0</v>
      </c>
      <c r="D21" s="28">
        <v>18501.400000000001</v>
      </c>
      <c r="E21" s="28">
        <v>78.38</v>
      </c>
      <c r="F21" s="28">
        <v>79.05</v>
      </c>
      <c r="G21" s="28">
        <f t="shared" si="4"/>
        <v>157.43</v>
      </c>
      <c r="H21" s="28">
        <v>0</v>
      </c>
      <c r="I21" s="28">
        <v>0</v>
      </c>
      <c r="J21" s="112">
        <v>164</v>
      </c>
      <c r="K21" s="28">
        <f t="shared" si="0"/>
        <v>-4.006097560975606</v>
      </c>
      <c r="L21" s="28"/>
      <c r="M21" s="28"/>
      <c r="N21" s="28">
        <f t="shared" si="1"/>
        <v>9891.0513116940892</v>
      </c>
      <c r="O21" s="28" t="str">
        <f t="shared" si="2"/>
        <v/>
      </c>
      <c r="P21" s="28">
        <v>9.0500000000000007</v>
      </c>
      <c r="Q21" s="28">
        <v>10.51</v>
      </c>
      <c r="R21" s="28">
        <v>19.36</v>
      </c>
      <c r="S21" s="28">
        <v>20.5</v>
      </c>
      <c r="T21" s="28">
        <v>20.5</v>
      </c>
      <c r="U21" s="28">
        <v>6.04</v>
      </c>
      <c r="V21" s="28">
        <f t="shared" si="3"/>
        <v>85.960000000000008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175920</v>
      </c>
      <c r="C22" s="28">
        <v>0</v>
      </c>
      <c r="D22" s="28">
        <v>12346.69</v>
      </c>
      <c r="E22" s="28">
        <v>56.84</v>
      </c>
      <c r="F22" s="28">
        <v>57.34</v>
      </c>
      <c r="G22" s="28">
        <f t="shared" si="4"/>
        <v>114.18</v>
      </c>
      <c r="H22" s="28">
        <v>0</v>
      </c>
      <c r="I22" s="28">
        <v>0</v>
      </c>
      <c r="J22" s="112">
        <v>164</v>
      </c>
      <c r="K22" s="28">
        <f t="shared" si="0"/>
        <v>-30.378048780487799</v>
      </c>
      <c r="L22" s="28"/>
      <c r="M22" s="28"/>
      <c r="N22" s="28">
        <f t="shared" si="1"/>
        <v>13425.068978805397</v>
      </c>
      <c r="O22" s="28">
        <f t="shared" si="2"/>
        <v>-49.819999999999993</v>
      </c>
      <c r="P22" s="28">
        <v>9.1999999999999993</v>
      </c>
      <c r="Q22" s="28">
        <v>10.15</v>
      </c>
      <c r="R22" s="28">
        <v>18.989999999999998</v>
      </c>
      <c r="S22" s="28">
        <v>20.14</v>
      </c>
      <c r="T22" s="28">
        <v>20.14</v>
      </c>
      <c r="U22" s="28">
        <v>6</v>
      </c>
      <c r="V22" s="28">
        <f t="shared" si="3"/>
        <v>84.62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129930</v>
      </c>
      <c r="C23" s="28">
        <v>0</v>
      </c>
      <c r="D23" s="28">
        <v>7293.9699999999993</v>
      </c>
      <c r="E23" s="28">
        <v>44.66</v>
      </c>
      <c r="F23" s="28">
        <v>45.05</v>
      </c>
      <c r="G23" s="28">
        <f t="shared" si="4"/>
        <v>89.71</v>
      </c>
      <c r="H23" s="28">
        <v>0</v>
      </c>
      <c r="I23" s="28">
        <v>0</v>
      </c>
      <c r="J23" s="112">
        <v>164</v>
      </c>
      <c r="K23" s="28">
        <f t="shared" si="0"/>
        <v>-45.298780487804883</v>
      </c>
      <c r="L23" s="28"/>
      <c r="M23" s="28"/>
      <c r="N23" s="28">
        <f t="shared" si="1"/>
        <v>12404.326875487683</v>
      </c>
      <c r="O23" s="28">
        <f t="shared" si="2"/>
        <v>-74.290000000000006</v>
      </c>
      <c r="P23" s="28">
        <v>9.11</v>
      </c>
      <c r="Q23" s="28">
        <v>4.3499999999999996</v>
      </c>
      <c r="R23" s="28">
        <v>13.2</v>
      </c>
      <c r="S23" s="28">
        <v>14.36</v>
      </c>
      <c r="T23" s="28">
        <v>14.34</v>
      </c>
      <c r="U23" s="28">
        <v>6.07</v>
      </c>
      <c r="V23" s="28">
        <f t="shared" si="3"/>
        <v>61.43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104460</v>
      </c>
      <c r="C24" s="28">
        <v>0</v>
      </c>
      <c r="D24" s="28">
        <v>5533.79</v>
      </c>
      <c r="E24" s="28">
        <v>42.86</v>
      </c>
      <c r="F24" s="28">
        <v>43.25</v>
      </c>
      <c r="G24" s="28">
        <f t="shared" si="4"/>
        <v>86.11</v>
      </c>
      <c r="H24" s="28">
        <v>0</v>
      </c>
      <c r="I24" s="28">
        <v>0</v>
      </c>
      <c r="J24" s="112">
        <v>140</v>
      </c>
      <c r="K24" s="28">
        <f t="shared" si="0"/>
        <v>-38.49285714285714</v>
      </c>
      <c r="L24" s="28"/>
      <c r="M24" s="28"/>
      <c r="N24" s="28">
        <f t="shared" si="1"/>
        <v>11542.899500638721</v>
      </c>
      <c r="O24" s="28">
        <f t="shared" si="2"/>
        <v>-53.89</v>
      </c>
      <c r="P24" s="28">
        <v>9.06</v>
      </c>
      <c r="Q24" s="28">
        <v>2.72</v>
      </c>
      <c r="R24" s="28">
        <v>11.58</v>
      </c>
      <c r="S24" s="28">
        <v>12.71</v>
      </c>
      <c r="T24" s="28">
        <v>12.71</v>
      </c>
      <c r="U24" s="28">
        <v>6.09</v>
      </c>
      <c r="V24" s="28">
        <f t="shared" si="3"/>
        <v>54.870000000000005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100980</v>
      </c>
      <c r="C25" s="28">
        <v>1.19</v>
      </c>
      <c r="D25" s="28">
        <v>4061.3599999999997</v>
      </c>
      <c r="E25" s="28">
        <v>42.35</v>
      </c>
      <c r="F25" s="28">
        <v>42.74</v>
      </c>
      <c r="G25" s="28">
        <f t="shared" si="4"/>
        <v>85.09</v>
      </c>
      <c r="H25" s="28">
        <v>0</v>
      </c>
      <c r="I25" s="28">
        <v>0</v>
      </c>
      <c r="J25" s="112">
        <v>155</v>
      </c>
      <c r="K25" s="28">
        <f t="shared" si="0"/>
        <v>-45.103225806451611</v>
      </c>
      <c r="L25" s="28"/>
      <c r="M25" s="28"/>
      <c r="N25" s="28">
        <f t="shared" si="1"/>
        <v>11496.053590316138</v>
      </c>
      <c r="O25" s="28">
        <f t="shared" si="2"/>
        <v>-69.91</v>
      </c>
      <c r="P25" s="28">
        <v>9.02</v>
      </c>
      <c r="Q25" s="28">
        <v>2.4900000000000002</v>
      </c>
      <c r="R25" s="28">
        <v>11.37</v>
      </c>
      <c r="S25" s="28">
        <v>12.51</v>
      </c>
      <c r="T25" s="28">
        <v>12.5</v>
      </c>
      <c r="U25" s="28">
        <v>6.11</v>
      </c>
      <c r="V25" s="28">
        <f t="shared" si="3"/>
        <v>54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99970</v>
      </c>
      <c r="C26" s="28">
        <v>4.54</v>
      </c>
      <c r="D26" s="28">
        <v>3941.2799999999997</v>
      </c>
      <c r="E26" s="28">
        <v>41.94</v>
      </c>
      <c r="F26" s="28">
        <v>42.33</v>
      </c>
      <c r="G26" s="28">
        <f t="shared" si="4"/>
        <v>84.27</v>
      </c>
      <c r="H26" s="28">
        <v>0</v>
      </c>
      <c r="I26" s="28">
        <v>0</v>
      </c>
      <c r="J26" s="112">
        <v>164</v>
      </c>
      <c r="K26" s="28">
        <f t="shared" si="0"/>
        <v>-48.615853658536587</v>
      </c>
      <c r="L26" s="28"/>
      <c r="M26" s="28"/>
      <c r="N26" s="28">
        <f t="shared" si="1"/>
        <v>11607.917408330368</v>
      </c>
      <c r="O26" s="28">
        <f t="shared" si="2"/>
        <v>-79.73</v>
      </c>
      <c r="P26" s="28">
        <v>9.0299999999999994</v>
      </c>
      <c r="Q26" s="28">
        <v>2.5</v>
      </c>
      <c r="R26" s="28">
        <v>11.35</v>
      </c>
      <c r="S26" s="28">
        <v>12.5</v>
      </c>
      <c r="T26" s="28">
        <v>12.5</v>
      </c>
      <c r="U26" s="28">
        <v>6.12</v>
      </c>
      <c r="V26" s="28">
        <f t="shared" si="3"/>
        <v>53.999999999999993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99280</v>
      </c>
      <c r="C27" s="28">
        <v>728.71</v>
      </c>
      <c r="D27" s="28">
        <v>1854.0500000000002</v>
      </c>
      <c r="E27" s="28">
        <v>27.71</v>
      </c>
      <c r="F27" s="28">
        <v>28</v>
      </c>
      <c r="G27" s="28">
        <f t="shared" si="4"/>
        <v>55.71</v>
      </c>
      <c r="H27" s="28">
        <v>525.02</v>
      </c>
      <c r="I27" s="28">
        <v>521.39</v>
      </c>
      <c r="J27" s="112">
        <v>164</v>
      </c>
      <c r="K27" s="28">
        <f t="shared" si="0"/>
        <v>-66.030487804878049</v>
      </c>
      <c r="L27" s="28"/>
      <c r="M27" s="28"/>
      <c r="N27" s="28">
        <f t="shared" si="1"/>
        <v>17565.275462215042</v>
      </c>
      <c r="O27" s="28">
        <f t="shared" si="2"/>
        <v>-108.28999999999999</v>
      </c>
      <c r="P27" s="28">
        <v>8.98</v>
      </c>
      <c r="Q27" s="28">
        <v>2.5</v>
      </c>
      <c r="R27" s="28">
        <v>11.37</v>
      </c>
      <c r="S27" s="28">
        <v>12.5</v>
      </c>
      <c r="T27" s="28">
        <v>12.5</v>
      </c>
      <c r="U27" s="28">
        <v>6.17</v>
      </c>
      <c r="V27" s="28">
        <f t="shared" si="3"/>
        <v>54.02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68100</v>
      </c>
      <c r="C28" s="28">
        <v>0</v>
      </c>
      <c r="D28" s="28">
        <v>1203.06</v>
      </c>
      <c r="E28" s="28">
        <v>0</v>
      </c>
      <c r="F28" s="28">
        <v>0</v>
      </c>
      <c r="G28" s="28">
        <f t="shared" si="4"/>
        <v>0</v>
      </c>
      <c r="H28" s="28">
        <v>4065.09</v>
      </c>
      <c r="I28" s="28">
        <v>4023.9</v>
      </c>
      <c r="J28" s="112">
        <v>164</v>
      </c>
      <c r="K28" s="28">
        <f t="shared" si="0"/>
        <v>-100</v>
      </c>
      <c r="L28" s="28"/>
      <c r="M28" s="28"/>
      <c r="N28" s="28" t="str">
        <f t="shared" si="1"/>
        <v/>
      </c>
      <c r="O28" s="28">
        <f t="shared" si="2"/>
        <v>-164</v>
      </c>
      <c r="P28" s="28">
        <v>7.22</v>
      </c>
      <c r="Q28" s="28">
        <v>1.85</v>
      </c>
      <c r="R28" s="28">
        <v>9.6199999999999992</v>
      </c>
      <c r="S28" s="28">
        <v>10.16</v>
      </c>
      <c r="T28" s="28">
        <v>4.45</v>
      </c>
      <c r="U28" s="28">
        <v>3.74</v>
      </c>
      <c r="V28" s="28">
        <f t="shared" si="3"/>
        <v>37.04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0</v>
      </c>
      <c r="C29" s="28">
        <v>824.34</v>
      </c>
      <c r="D29" s="28">
        <v>6.06</v>
      </c>
      <c r="E29" s="28">
        <v>0</v>
      </c>
      <c r="F29" s="28">
        <v>0</v>
      </c>
      <c r="G29" s="28">
        <f t="shared" si="4"/>
        <v>0</v>
      </c>
      <c r="H29" s="28">
        <v>2391.41</v>
      </c>
      <c r="I29" s="28">
        <v>2336.0100000000002</v>
      </c>
      <c r="J29" s="112">
        <v>0</v>
      </c>
      <c r="K29" s="28">
        <f t="shared" si="0"/>
        <v>0</v>
      </c>
      <c r="L29" s="28"/>
      <c r="M29" s="28"/>
      <c r="N29" s="28" t="str">
        <f t="shared" si="1"/>
        <v/>
      </c>
      <c r="O29" s="28" t="str">
        <f t="shared" si="2"/>
        <v/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f t="shared" si="3"/>
        <v>0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0</v>
      </c>
      <c r="C30" s="28">
        <v>729.88</v>
      </c>
      <c r="D30" s="28">
        <v>0</v>
      </c>
      <c r="E30" s="28">
        <v>0</v>
      </c>
      <c r="F30" s="28">
        <v>0</v>
      </c>
      <c r="G30" s="28">
        <f t="shared" si="4"/>
        <v>0</v>
      </c>
      <c r="H30" s="28">
        <v>2371.7600000000002</v>
      </c>
      <c r="I30" s="28">
        <v>2312.0100000000002</v>
      </c>
      <c r="J30" s="112">
        <v>0</v>
      </c>
      <c r="K30" s="28">
        <f t="shared" si="0"/>
        <v>0</v>
      </c>
      <c r="L30" s="28"/>
      <c r="M30" s="28"/>
      <c r="N30" s="28" t="str">
        <f t="shared" si="1"/>
        <v/>
      </c>
      <c r="O30" s="28" t="str">
        <f t="shared" si="2"/>
        <v/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f t="shared" si="3"/>
        <v>0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0</v>
      </c>
      <c r="C31" s="28">
        <v>721.72</v>
      </c>
      <c r="D31" s="28">
        <v>0</v>
      </c>
      <c r="E31" s="28">
        <v>0</v>
      </c>
      <c r="F31" s="28">
        <v>0</v>
      </c>
      <c r="G31" s="28">
        <f t="shared" si="4"/>
        <v>0</v>
      </c>
      <c r="H31" s="28">
        <v>2324.5300000000002</v>
      </c>
      <c r="I31" s="28">
        <v>2263.56</v>
      </c>
      <c r="J31" s="112">
        <v>0</v>
      </c>
      <c r="K31" s="28">
        <f t="shared" si="0"/>
        <v>0</v>
      </c>
      <c r="L31" s="28"/>
      <c r="M31" s="28"/>
      <c r="N31" s="28" t="str">
        <f t="shared" si="1"/>
        <v/>
      </c>
      <c r="O31" s="28" t="str">
        <f t="shared" si="2"/>
        <v/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f t="shared" si="3"/>
        <v>0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0</v>
      </c>
      <c r="C32" s="28">
        <v>771.32999999999993</v>
      </c>
      <c r="D32" s="28">
        <v>0</v>
      </c>
      <c r="E32" s="28">
        <v>0</v>
      </c>
      <c r="F32" s="28">
        <v>0</v>
      </c>
      <c r="G32" s="28">
        <f t="shared" si="4"/>
        <v>0</v>
      </c>
      <c r="H32" s="28">
        <v>2270.17</v>
      </c>
      <c r="I32" s="28">
        <v>2210.25</v>
      </c>
      <c r="J32" s="112">
        <v>0</v>
      </c>
      <c r="K32" s="28">
        <f t="shared" si="0"/>
        <v>0</v>
      </c>
      <c r="L32" s="28"/>
      <c r="M32" s="28"/>
      <c r="N32" s="28" t="str">
        <f t="shared" si="1"/>
        <v/>
      </c>
      <c r="O32" s="28" t="str">
        <f t="shared" si="2"/>
        <v/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f t="shared" si="3"/>
        <v>0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0</v>
      </c>
      <c r="C33" s="28">
        <v>781.77</v>
      </c>
      <c r="D33" s="28">
        <v>0</v>
      </c>
      <c r="E33" s="28">
        <v>0</v>
      </c>
      <c r="F33" s="28">
        <v>0</v>
      </c>
      <c r="G33" s="28">
        <f t="shared" si="4"/>
        <v>0</v>
      </c>
      <c r="H33" s="28">
        <v>2260.79</v>
      </c>
      <c r="I33" s="28">
        <v>2200.66</v>
      </c>
      <c r="J33" s="112">
        <v>0</v>
      </c>
      <c r="K33" s="28">
        <f t="shared" si="0"/>
        <v>0</v>
      </c>
      <c r="L33" s="28"/>
      <c r="M33" s="28"/>
      <c r="N33" s="28" t="str">
        <f t="shared" si="1"/>
        <v/>
      </c>
      <c r="O33" s="28" t="str">
        <f t="shared" si="2"/>
        <v/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f t="shared" si="3"/>
        <v>0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0</v>
      </c>
      <c r="C34" s="28">
        <v>784.81999999999994</v>
      </c>
      <c r="D34" s="28">
        <v>0.04</v>
      </c>
      <c r="E34" s="28">
        <v>0</v>
      </c>
      <c r="F34" s="28">
        <v>0</v>
      </c>
      <c r="G34" s="28">
        <f t="shared" si="4"/>
        <v>0</v>
      </c>
      <c r="H34" s="28">
        <v>2246.3000000000002</v>
      </c>
      <c r="I34" s="28">
        <v>2193.44</v>
      </c>
      <c r="J34" s="112">
        <v>0</v>
      </c>
      <c r="K34" s="28">
        <f t="shared" si="0"/>
        <v>0</v>
      </c>
      <c r="L34" s="28"/>
      <c r="M34" s="28"/>
      <c r="N34" s="28" t="str">
        <f t="shared" si="1"/>
        <v/>
      </c>
      <c r="O34" s="28" t="str">
        <f t="shared" si="2"/>
        <v/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f t="shared" si="3"/>
        <v>0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0</v>
      </c>
      <c r="C35" s="28">
        <v>809.23</v>
      </c>
      <c r="D35" s="28">
        <v>0</v>
      </c>
      <c r="E35" s="28">
        <v>0</v>
      </c>
      <c r="F35" s="28">
        <v>0</v>
      </c>
      <c r="G35" s="28">
        <f t="shared" si="4"/>
        <v>0</v>
      </c>
      <c r="H35" s="28">
        <v>2224.8200000000002</v>
      </c>
      <c r="I35" s="28">
        <v>2163.3000000000002</v>
      </c>
      <c r="J35" s="112">
        <v>0</v>
      </c>
      <c r="K35" s="116">
        <f t="shared" si="0"/>
        <v>0</v>
      </c>
      <c r="L35" s="28"/>
      <c r="M35" s="28"/>
      <c r="N35" s="28" t="str">
        <f t="shared" si="1"/>
        <v/>
      </c>
      <c r="O35" s="28" t="str">
        <f t="shared" si="2"/>
        <v/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f t="shared" si="3"/>
        <v>0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2541130</v>
      </c>
      <c r="C36" s="35">
        <f t="shared" ref="C36:J36" si="5">SUM(C12:C35)</f>
        <v>6157.5299999999988</v>
      </c>
      <c r="D36" s="35">
        <f t="shared" si="5"/>
        <v>249154.99999999997</v>
      </c>
      <c r="E36" s="35">
        <f t="shared" si="5"/>
        <v>1042.1600000000001</v>
      </c>
      <c r="F36" s="35">
        <f t="shared" si="5"/>
        <v>1051.3</v>
      </c>
      <c r="G36" s="35">
        <f t="shared" si="5"/>
        <v>2093.46</v>
      </c>
      <c r="H36" s="35">
        <f t="shared" si="5"/>
        <v>20679.89</v>
      </c>
      <c r="I36" s="35">
        <f t="shared" si="5"/>
        <v>20224.52</v>
      </c>
      <c r="J36" s="35">
        <f t="shared" si="5"/>
        <v>2755</v>
      </c>
      <c r="K36" s="36"/>
      <c r="L36" s="37"/>
      <c r="M36" s="38"/>
      <c r="N36" s="35">
        <f>IFERROR(AVERAGE(N12:N35),"")</f>
        <v>11006.827191898035</v>
      </c>
      <c r="O36" s="39">
        <f t="shared" ref="O36:U36" si="6">SUM(O12:O35)</f>
        <v>-599.92999999999995</v>
      </c>
      <c r="P36" s="39">
        <f t="shared" si="6"/>
        <v>145.04999999999998</v>
      </c>
      <c r="Q36" s="39">
        <f t="shared" si="6"/>
        <v>132.33000000000001</v>
      </c>
      <c r="R36" s="39">
        <f t="shared" si="6"/>
        <v>281.82000000000005</v>
      </c>
      <c r="S36" s="39">
        <f t="shared" si="6"/>
        <v>300.66000000000003</v>
      </c>
      <c r="T36" s="39">
        <f t="shared" si="6"/>
        <v>294.91999999999996</v>
      </c>
      <c r="U36" s="39">
        <f t="shared" si="6"/>
        <v>99.660000000000011</v>
      </c>
      <c r="V36" s="39">
        <f>SUM(V12:V35)</f>
        <v>1254.44</v>
      </c>
      <c r="W36" s="40">
        <f>SUM(W12:W35)</f>
        <v>0</v>
      </c>
      <c r="X36" s="40"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X36</f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40904.410000000003</v>
      </c>
      <c r="J41" s="41"/>
      <c r="K41" s="13" t="s">
        <v>59</v>
      </c>
      <c r="L41" s="113">
        <v>318854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0.66249999999999998</v>
      </c>
      <c r="B42" s="57">
        <v>0</v>
      </c>
      <c r="C42" s="57">
        <v>0.33750000000000002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127921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>
        <f>IFERROR(3412.14/N36,"")</f>
        <v>0.31000214144468685</v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18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Juan C. Jaramillo Sampayo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2337.7199999999998</v>
      </c>
      <c r="D58" s="81">
        <v>0</v>
      </c>
      <c r="E58" s="82">
        <v>0</v>
      </c>
      <c r="F58" s="83">
        <v>4897.53</v>
      </c>
      <c r="G58" s="82">
        <v>0</v>
      </c>
      <c r="H58" s="84">
        <f t="shared" ref="H58:H81" si="7">IF(G58=0,0,100*(E58-G58)/G58)</f>
        <v>0</v>
      </c>
      <c r="I58" s="85"/>
      <c r="J58" s="85"/>
      <c r="K58" s="86" t="str">
        <f t="shared" ref="K58:K81" si="8">IFERROR(U58*1000*2.2*$K$92/E58/1000,"")</f>
        <v/>
      </c>
      <c r="L58" s="87"/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2379.56</v>
      </c>
      <c r="D59" s="81">
        <v>0</v>
      </c>
      <c r="E59" s="82">
        <v>0</v>
      </c>
      <c r="F59" s="82">
        <v>4870.33</v>
      </c>
      <c r="G59" s="82">
        <v>0</v>
      </c>
      <c r="H59" s="91">
        <f t="shared" si="7"/>
        <v>0</v>
      </c>
      <c r="I59" s="85"/>
      <c r="J59" s="85"/>
      <c r="K59" s="86" t="str">
        <f t="shared" si="8"/>
        <v/>
      </c>
      <c r="L59" s="87" t="str">
        <f t="shared" ref="L59:L81" si="9">IF(OR(H59&gt;5,H59&lt;-5),E59-G59,"")</f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10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2374.66</v>
      </c>
      <c r="D60" s="81">
        <v>0</v>
      </c>
      <c r="E60" s="82">
        <v>0</v>
      </c>
      <c r="F60" s="82">
        <v>4869.18</v>
      </c>
      <c r="G60" s="82">
        <v>0</v>
      </c>
      <c r="H60" s="91">
        <f t="shared" si="7"/>
        <v>0</v>
      </c>
      <c r="I60" s="85"/>
      <c r="J60" s="85"/>
      <c r="K60" s="86" t="str">
        <f t="shared" si="8"/>
        <v/>
      </c>
      <c r="L60" s="87" t="str">
        <f t="shared" si="9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10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2362.56</v>
      </c>
      <c r="D61" s="81">
        <v>0</v>
      </c>
      <c r="E61" s="82">
        <v>0</v>
      </c>
      <c r="F61" s="82">
        <v>4908.1899999999996</v>
      </c>
      <c r="G61" s="82">
        <v>0</v>
      </c>
      <c r="H61" s="91">
        <f t="shared" si="7"/>
        <v>0</v>
      </c>
      <c r="I61" s="85"/>
      <c r="J61" s="85"/>
      <c r="K61" s="86" t="str">
        <f t="shared" si="8"/>
        <v/>
      </c>
      <c r="L61" s="87" t="str">
        <f t="shared" si="9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10"/>
        <v>0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2369.06</v>
      </c>
      <c r="D62" s="81">
        <v>0</v>
      </c>
      <c r="E62" s="82">
        <v>0</v>
      </c>
      <c r="F62" s="82">
        <v>4894.21</v>
      </c>
      <c r="G62" s="82">
        <v>0</v>
      </c>
      <c r="H62" s="91">
        <f t="shared" si="7"/>
        <v>0</v>
      </c>
      <c r="I62" s="85"/>
      <c r="J62" s="85"/>
      <c r="K62" s="86" t="str">
        <f t="shared" si="8"/>
        <v/>
      </c>
      <c r="L62" s="87" t="str">
        <f t="shared" si="9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10"/>
        <v>0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2364.02</v>
      </c>
      <c r="D63" s="81">
        <v>0</v>
      </c>
      <c r="E63" s="82">
        <v>0</v>
      </c>
      <c r="F63" s="82">
        <v>4910.1499999999996</v>
      </c>
      <c r="G63" s="82">
        <v>0</v>
      </c>
      <c r="H63" s="91">
        <f t="shared" si="7"/>
        <v>0</v>
      </c>
      <c r="I63" s="85"/>
      <c r="J63" s="85"/>
      <c r="K63" s="86" t="str">
        <f t="shared" si="8"/>
        <v/>
      </c>
      <c r="L63" s="87" t="str">
        <f t="shared" si="9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10"/>
        <v>0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2352.75</v>
      </c>
      <c r="D64" s="81">
        <v>0</v>
      </c>
      <c r="E64" s="82">
        <v>0</v>
      </c>
      <c r="F64" s="82">
        <v>4891.67</v>
      </c>
      <c r="G64" s="82">
        <v>0</v>
      </c>
      <c r="H64" s="91">
        <f t="shared" si="7"/>
        <v>0</v>
      </c>
      <c r="I64" s="85"/>
      <c r="J64" s="85"/>
      <c r="K64" s="86" t="str">
        <f t="shared" si="8"/>
        <v/>
      </c>
      <c r="L64" s="87" t="str">
        <f t="shared" si="9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10"/>
        <v>0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2327.04</v>
      </c>
      <c r="D65" s="81">
        <v>0</v>
      </c>
      <c r="E65" s="82">
        <v>0</v>
      </c>
      <c r="F65" s="82">
        <v>4930.3999999999996</v>
      </c>
      <c r="G65" s="82">
        <v>0</v>
      </c>
      <c r="H65" s="91">
        <f t="shared" si="7"/>
        <v>0</v>
      </c>
      <c r="I65" s="85"/>
      <c r="J65" s="85"/>
      <c r="K65" s="86" t="str">
        <f t="shared" si="8"/>
        <v/>
      </c>
      <c r="L65" s="87" t="str">
        <f t="shared" si="9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10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2297.17</v>
      </c>
      <c r="D66" s="81">
        <v>0</v>
      </c>
      <c r="E66" s="82">
        <v>0</v>
      </c>
      <c r="F66" s="82">
        <v>5045.6499999999996</v>
      </c>
      <c r="G66" s="82">
        <v>0</v>
      </c>
      <c r="H66" s="91">
        <f t="shared" si="7"/>
        <v>0</v>
      </c>
      <c r="I66" s="85"/>
      <c r="J66" s="85"/>
      <c r="K66" s="86" t="str">
        <f t="shared" si="8"/>
        <v/>
      </c>
      <c r="L66" s="87" t="str">
        <f t="shared" si="9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10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2284.58</v>
      </c>
      <c r="D67" s="81">
        <v>0</v>
      </c>
      <c r="E67" s="82">
        <v>0</v>
      </c>
      <c r="F67" s="82">
        <v>5043.12</v>
      </c>
      <c r="G67" s="82">
        <v>0</v>
      </c>
      <c r="H67" s="91">
        <f t="shared" si="7"/>
        <v>0</v>
      </c>
      <c r="I67" s="85"/>
      <c r="J67" s="85"/>
      <c r="K67" s="86" t="str">
        <f t="shared" si="8"/>
        <v/>
      </c>
      <c r="L67" s="87" t="str">
        <f t="shared" si="9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10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2287.29</v>
      </c>
      <c r="D68" s="81">
        <v>0</v>
      </c>
      <c r="E68" s="82">
        <v>0</v>
      </c>
      <c r="F68" s="82">
        <v>5064.97</v>
      </c>
      <c r="G68" s="82">
        <v>0</v>
      </c>
      <c r="H68" s="91">
        <f t="shared" si="7"/>
        <v>0</v>
      </c>
      <c r="I68" s="85"/>
      <c r="K68" s="86" t="str">
        <f t="shared" si="8"/>
        <v/>
      </c>
      <c r="L68" s="87" t="str">
        <f t="shared" si="9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10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2025.29</v>
      </c>
      <c r="D69" s="81">
        <v>0.55000000000000004</v>
      </c>
      <c r="E69" s="82">
        <v>0</v>
      </c>
      <c r="F69" s="82">
        <v>5177.45</v>
      </c>
      <c r="G69" s="82">
        <v>0</v>
      </c>
      <c r="H69" s="91">
        <f t="shared" si="7"/>
        <v>0</v>
      </c>
      <c r="I69" s="85"/>
      <c r="J69" s="85"/>
      <c r="K69" s="86" t="str">
        <f t="shared" si="8"/>
        <v/>
      </c>
      <c r="L69" s="87" t="str">
        <f t="shared" si="9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10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2167.2399999999998</v>
      </c>
      <c r="D70" s="81">
        <v>0</v>
      </c>
      <c r="E70" s="82">
        <v>0</v>
      </c>
      <c r="F70" s="82">
        <v>5146.87</v>
      </c>
      <c r="G70" s="82">
        <v>0</v>
      </c>
      <c r="H70" s="91">
        <f t="shared" si="7"/>
        <v>0</v>
      </c>
      <c r="I70" s="85"/>
      <c r="J70" s="85"/>
      <c r="K70" s="86" t="str">
        <f t="shared" si="8"/>
        <v/>
      </c>
      <c r="L70" s="87" t="str">
        <f t="shared" si="9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10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2192.2600000000002</v>
      </c>
      <c r="D71" s="81">
        <v>0</v>
      </c>
      <c r="E71" s="82">
        <v>0</v>
      </c>
      <c r="F71" s="82">
        <v>5141.71</v>
      </c>
      <c r="G71" s="82">
        <v>0</v>
      </c>
      <c r="H71" s="91">
        <f t="shared" si="7"/>
        <v>0</v>
      </c>
      <c r="I71" s="85"/>
      <c r="J71" s="85"/>
      <c r="K71" s="86" t="str">
        <f t="shared" si="8"/>
        <v/>
      </c>
      <c r="L71" s="87" t="str">
        <f t="shared" si="9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10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2111.46</v>
      </c>
      <c r="D72" s="81">
        <v>0</v>
      </c>
      <c r="E72" s="82">
        <v>0</v>
      </c>
      <c r="F72" s="82">
        <v>5413.81</v>
      </c>
      <c r="G72" s="82">
        <v>0</v>
      </c>
      <c r="H72" s="91">
        <f t="shared" si="7"/>
        <v>0</v>
      </c>
      <c r="I72" s="85"/>
      <c r="J72" s="85"/>
      <c r="K72" s="86" t="str">
        <f t="shared" si="8"/>
        <v/>
      </c>
      <c r="L72" s="87" t="str">
        <f t="shared" si="9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10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2241.3000000000002</v>
      </c>
      <c r="D73" s="81">
        <v>0</v>
      </c>
      <c r="E73" s="82">
        <v>0</v>
      </c>
      <c r="F73" s="82">
        <v>5146.87</v>
      </c>
      <c r="G73" s="82">
        <v>0</v>
      </c>
      <c r="H73" s="91">
        <f t="shared" si="7"/>
        <v>0</v>
      </c>
      <c r="I73" s="85"/>
      <c r="J73" s="85"/>
      <c r="K73" s="86" t="str">
        <f t="shared" si="8"/>
        <v/>
      </c>
      <c r="L73" s="87" t="str">
        <f t="shared" si="9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10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2313.19</v>
      </c>
      <c r="D74" s="81">
        <v>0</v>
      </c>
      <c r="E74" s="82">
        <v>0</v>
      </c>
      <c r="F74" s="82">
        <v>4970.84</v>
      </c>
      <c r="G74" s="82">
        <v>0</v>
      </c>
      <c r="H74" s="91">
        <f t="shared" si="7"/>
        <v>0</v>
      </c>
      <c r="I74" s="85"/>
      <c r="J74" s="85"/>
      <c r="K74" s="86" t="str">
        <f t="shared" si="8"/>
        <v/>
      </c>
      <c r="L74" s="87" t="str">
        <f t="shared" si="9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10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2346.94</v>
      </c>
      <c r="D75" s="81">
        <v>0</v>
      </c>
      <c r="E75" s="82">
        <v>0</v>
      </c>
      <c r="F75" s="82">
        <v>4897.75</v>
      </c>
      <c r="G75" s="82">
        <v>0</v>
      </c>
      <c r="H75" s="91">
        <f t="shared" si="7"/>
        <v>0</v>
      </c>
      <c r="I75" s="85"/>
      <c r="J75" s="85"/>
      <c r="K75" s="86" t="str">
        <f t="shared" si="8"/>
        <v/>
      </c>
      <c r="L75" s="87" t="str">
        <f t="shared" si="9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10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2350.31</v>
      </c>
      <c r="D76" s="81">
        <v>0</v>
      </c>
      <c r="E76" s="82">
        <v>0</v>
      </c>
      <c r="F76" s="82">
        <v>4901.5600000000004</v>
      </c>
      <c r="G76" s="82">
        <v>0</v>
      </c>
      <c r="H76" s="91">
        <f t="shared" si="7"/>
        <v>0</v>
      </c>
      <c r="I76" s="85"/>
      <c r="J76" s="85"/>
      <c r="K76" s="86" t="str">
        <f t="shared" si="8"/>
        <v/>
      </c>
      <c r="L76" s="87" t="str">
        <f t="shared" si="9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10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2367.3000000000002</v>
      </c>
      <c r="D77" s="81">
        <v>0</v>
      </c>
      <c r="E77" s="82">
        <v>0</v>
      </c>
      <c r="F77" s="82">
        <v>4897.28</v>
      </c>
      <c r="G77" s="82">
        <v>0</v>
      </c>
      <c r="H77" s="91">
        <f t="shared" si="7"/>
        <v>0</v>
      </c>
      <c r="I77" s="85"/>
      <c r="J77" s="85"/>
      <c r="K77" s="86" t="str">
        <f t="shared" si="8"/>
        <v/>
      </c>
      <c r="L77" s="87" t="str">
        <f t="shared" si="9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10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2367.5</v>
      </c>
      <c r="D78" s="81">
        <v>0</v>
      </c>
      <c r="E78" s="82">
        <v>0</v>
      </c>
      <c r="F78" s="82">
        <v>4884.79</v>
      </c>
      <c r="G78" s="82">
        <v>0</v>
      </c>
      <c r="H78" s="91">
        <f t="shared" si="7"/>
        <v>0</v>
      </c>
      <c r="I78" s="85"/>
      <c r="J78" s="85"/>
      <c r="K78" s="86" t="str">
        <f t="shared" si="8"/>
        <v/>
      </c>
      <c r="L78" s="87" t="str">
        <f t="shared" si="9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0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2366.56</v>
      </c>
      <c r="D79" s="81">
        <v>0</v>
      </c>
      <c r="E79" s="82">
        <v>0</v>
      </c>
      <c r="F79" s="82">
        <v>4885.21</v>
      </c>
      <c r="G79" s="82">
        <v>0</v>
      </c>
      <c r="H79" s="91">
        <f t="shared" si="7"/>
        <v>0</v>
      </c>
      <c r="I79" s="85"/>
      <c r="J79" s="85"/>
      <c r="K79" s="86" t="str">
        <f t="shared" si="8"/>
        <v/>
      </c>
      <c r="L79" s="87" t="str">
        <f t="shared" si="9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0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2363.63</v>
      </c>
      <c r="D80" s="81">
        <v>0</v>
      </c>
      <c r="E80" s="82">
        <v>0</v>
      </c>
      <c r="F80" s="82">
        <v>4894.32</v>
      </c>
      <c r="G80" s="82">
        <v>0</v>
      </c>
      <c r="H80" s="91">
        <f t="shared" si="7"/>
        <v>0</v>
      </c>
      <c r="I80" s="85"/>
      <c r="J80" s="85"/>
      <c r="K80" s="86" t="str">
        <f t="shared" si="8"/>
        <v/>
      </c>
      <c r="L80" s="87" t="str">
        <f t="shared" si="9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0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2344.79</v>
      </c>
      <c r="D81" s="28">
        <v>0</v>
      </c>
      <c r="E81" s="96">
        <v>0</v>
      </c>
      <c r="F81" s="97">
        <v>4925.47</v>
      </c>
      <c r="G81" s="82">
        <v>0</v>
      </c>
      <c r="H81" s="98">
        <f t="shared" si="7"/>
        <v>0</v>
      </c>
      <c r="I81" s="115"/>
      <c r="J81" s="85"/>
      <c r="K81" s="99" t="str">
        <f t="shared" si="8"/>
        <v/>
      </c>
      <c r="L81" s="87" t="str">
        <f t="shared" si="9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0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1">SUM(B58:B81)</f>
        <v>0</v>
      </c>
      <c r="C82" s="35">
        <f t="shared" si="11"/>
        <v>55294.180000000008</v>
      </c>
      <c r="D82" s="35">
        <f t="shared" si="11"/>
        <v>0.55000000000000004</v>
      </c>
      <c r="E82" s="35">
        <f t="shared" si="11"/>
        <v>0</v>
      </c>
      <c r="F82" s="101">
        <f t="shared" si="11"/>
        <v>119609.32999999999</v>
      </c>
      <c r="G82" s="35">
        <f t="shared" si="11"/>
        <v>0</v>
      </c>
      <c r="H82" s="102"/>
      <c r="I82" s="103"/>
      <c r="J82" s="104"/>
      <c r="K82" s="105" t="str">
        <f>IFERROR(AVERAGE(K58:K81),"")</f>
        <v/>
      </c>
      <c r="L82" s="40">
        <f t="shared" ref="L82:U82" si="12">SUM(L58:L81)</f>
        <v>0</v>
      </c>
      <c r="M82" s="40">
        <f t="shared" si="12"/>
        <v>0</v>
      </c>
      <c r="N82" s="39">
        <f t="shared" si="12"/>
        <v>0</v>
      </c>
      <c r="O82" s="39">
        <f t="shared" si="12"/>
        <v>0</v>
      </c>
      <c r="P82" s="39">
        <f t="shared" si="12"/>
        <v>0</v>
      </c>
      <c r="Q82" s="39">
        <f t="shared" si="12"/>
        <v>0</v>
      </c>
      <c r="R82" s="39">
        <f t="shared" si="12"/>
        <v>0</v>
      </c>
      <c r="S82" s="39">
        <f t="shared" si="12"/>
        <v>0</v>
      </c>
      <c r="T82" s="39">
        <f t="shared" si="12"/>
        <v>0</v>
      </c>
      <c r="U82" s="39">
        <f t="shared" si="12"/>
        <v>0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119609.32999999999</v>
      </c>
      <c r="J87" s="41"/>
      <c r="K87" s="62" t="s">
        <v>59</v>
      </c>
      <c r="L87" s="113">
        <v>6228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</v>
      </c>
      <c r="B88" s="57">
        <v>0</v>
      </c>
      <c r="C88" s="57">
        <v>1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2912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 t="str">
        <f>IFERROR(3412.14/K82,"")</f>
        <v/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K90:L90"/>
    <mergeCell ref="B91:B92"/>
    <mergeCell ref="C91:I92"/>
    <mergeCell ref="K91:L91"/>
    <mergeCell ref="K92:L92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A85:A86"/>
    <mergeCell ref="B85:B86"/>
    <mergeCell ref="C85:C86"/>
    <mergeCell ref="D85:D86"/>
    <mergeCell ref="H85:I8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H41:H42"/>
    <mergeCell ref="I41:I42"/>
    <mergeCell ref="K44:L44"/>
    <mergeCell ref="C45:I46"/>
    <mergeCell ref="K45:L45"/>
    <mergeCell ref="K46:L46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A39:A40"/>
    <mergeCell ref="B39:B40"/>
    <mergeCell ref="C39:C40"/>
    <mergeCell ref="D39:D40"/>
    <mergeCell ref="H39:I40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1:C1"/>
    <mergeCell ref="D1:U2"/>
    <mergeCell ref="V1:X4"/>
    <mergeCell ref="A2:C2"/>
    <mergeCell ref="A3:C3"/>
    <mergeCell ref="D3:U4"/>
    <mergeCell ref="A4:C4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8C60-589A-4077-A40B-5022E279EBAD}">
  <dimension ref="A1:Z109"/>
  <sheetViews>
    <sheetView zoomScale="85" zoomScaleNormal="85" workbookViewId="0">
      <selection activeCell="M93" sqref="M93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19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81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0</v>
      </c>
      <c r="C12" s="28">
        <v>791.54</v>
      </c>
      <c r="D12" s="28">
        <v>0</v>
      </c>
      <c r="E12" s="28">
        <v>0</v>
      </c>
      <c r="F12" s="28">
        <v>0</v>
      </c>
      <c r="G12" s="28">
        <f>+E12+F12</f>
        <v>0</v>
      </c>
      <c r="H12" s="28">
        <v>2242.14</v>
      </c>
      <c r="I12" s="28">
        <v>2183.7800000000002</v>
      </c>
      <c r="J12" s="112">
        <v>0</v>
      </c>
      <c r="K12" s="28">
        <f t="shared" ref="K12:K35" si="0">IF(J12=0,0,100*(G12-J12)/J12)</f>
        <v>0</v>
      </c>
      <c r="L12" s="28"/>
      <c r="M12" s="28"/>
      <c r="N12" s="28" t="str">
        <f t="shared" ref="N12:N35" si="1">IFERROR(V12*1000*2.2*$K$46/G12/1000,"")</f>
        <v/>
      </c>
      <c r="O12" s="28" t="str">
        <f t="shared" ref="O12:O35" si="2">IF(OR(K12&gt;5,K12&lt;-5),G12-J12,"")</f>
        <v/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f t="shared" ref="V12:V35" si="3">+SUM(P12:U12)</f>
        <v>0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0</v>
      </c>
      <c r="C13" s="28">
        <v>775.79</v>
      </c>
      <c r="D13" s="28">
        <v>0</v>
      </c>
      <c r="E13" s="28">
        <v>0</v>
      </c>
      <c r="F13" s="28">
        <v>0</v>
      </c>
      <c r="G13" s="28">
        <f t="shared" ref="G13:G35" si="4">+E13+F13</f>
        <v>0</v>
      </c>
      <c r="H13" s="28">
        <v>2255.13</v>
      </c>
      <c r="I13" s="28">
        <v>2197.56</v>
      </c>
      <c r="J13" s="112">
        <v>0</v>
      </c>
      <c r="K13" s="28">
        <f t="shared" si="0"/>
        <v>0</v>
      </c>
      <c r="L13" s="28"/>
      <c r="M13" s="28"/>
      <c r="N13" s="28" t="str">
        <f t="shared" si="1"/>
        <v/>
      </c>
      <c r="O13" s="28" t="str">
        <f t="shared" si="2"/>
        <v/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f t="shared" si="3"/>
        <v>0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0</v>
      </c>
      <c r="C14" s="28">
        <v>820.65</v>
      </c>
      <c r="D14" s="28">
        <v>0</v>
      </c>
      <c r="E14" s="28">
        <v>0</v>
      </c>
      <c r="F14" s="28">
        <v>0</v>
      </c>
      <c r="G14" s="28">
        <f t="shared" si="4"/>
        <v>0</v>
      </c>
      <c r="H14" s="28">
        <v>2207.84</v>
      </c>
      <c r="I14" s="28">
        <v>2152.04</v>
      </c>
      <c r="J14" s="112">
        <v>0</v>
      </c>
      <c r="K14" s="28">
        <f t="shared" si="0"/>
        <v>0</v>
      </c>
      <c r="L14" s="28"/>
      <c r="M14" s="28"/>
      <c r="N14" s="28" t="str">
        <f t="shared" si="1"/>
        <v/>
      </c>
      <c r="O14" s="28" t="str">
        <f t="shared" si="2"/>
        <v/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f t="shared" si="3"/>
        <v>0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0</v>
      </c>
      <c r="C15" s="28">
        <v>1063.24</v>
      </c>
      <c r="D15" s="28">
        <v>0</v>
      </c>
      <c r="E15" s="28">
        <v>0</v>
      </c>
      <c r="F15" s="28">
        <v>0</v>
      </c>
      <c r="G15" s="28">
        <f t="shared" si="4"/>
        <v>0</v>
      </c>
      <c r="H15" s="28">
        <v>2026.53</v>
      </c>
      <c r="I15" s="28">
        <v>1969.63</v>
      </c>
      <c r="J15" s="112">
        <v>0</v>
      </c>
      <c r="K15" s="28">
        <f t="shared" si="0"/>
        <v>0</v>
      </c>
      <c r="L15" s="28"/>
      <c r="M15" s="28"/>
      <c r="N15" s="28" t="str">
        <f t="shared" si="1"/>
        <v/>
      </c>
      <c r="O15" s="28" t="str">
        <f t="shared" si="2"/>
        <v/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f t="shared" si="3"/>
        <v>0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0</v>
      </c>
      <c r="C16" s="28">
        <v>1179.1300000000001</v>
      </c>
      <c r="D16" s="28">
        <v>0</v>
      </c>
      <c r="E16" s="28">
        <v>0</v>
      </c>
      <c r="F16" s="28">
        <v>0</v>
      </c>
      <c r="G16" s="28">
        <f t="shared" si="4"/>
        <v>0</v>
      </c>
      <c r="H16" s="28">
        <v>1727.69</v>
      </c>
      <c r="I16" s="28">
        <v>1667.65</v>
      </c>
      <c r="J16" s="112">
        <v>0</v>
      </c>
      <c r="K16" s="28">
        <f t="shared" si="0"/>
        <v>0</v>
      </c>
      <c r="L16" s="28"/>
      <c r="M16" s="28"/>
      <c r="N16" s="28" t="str">
        <f t="shared" si="1"/>
        <v/>
      </c>
      <c r="O16" s="28" t="str">
        <f t="shared" si="2"/>
        <v/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f t="shared" si="3"/>
        <v>0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0</v>
      </c>
      <c r="C17" s="28">
        <v>1190.49</v>
      </c>
      <c r="D17" s="28">
        <v>0</v>
      </c>
      <c r="E17" s="28">
        <v>0</v>
      </c>
      <c r="F17" s="28">
        <v>0</v>
      </c>
      <c r="G17" s="28">
        <f t="shared" si="4"/>
        <v>0</v>
      </c>
      <c r="H17" s="28">
        <v>1724.81</v>
      </c>
      <c r="I17" s="28">
        <v>1666.96</v>
      </c>
      <c r="J17" s="112">
        <v>0</v>
      </c>
      <c r="K17" s="28">
        <f t="shared" si="0"/>
        <v>0</v>
      </c>
      <c r="L17" s="28"/>
      <c r="M17" s="28"/>
      <c r="N17" s="28" t="str">
        <f t="shared" si="1"/>
        <v/>
      </c>
      <c r="O17" s="28" t="str">
        <f t="shared" si="2"/>
        <v/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f t="shared" si="3"/>
        <v>0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0</v>
      </c>
      <c r="C18" s="28">
        <v>1161.9299999999998</v>
      </c>
      <c r="D18" s="28">
        <v>0</v>
      </c>
      <c r="E18" s="28">
        <v>0</v>
      </c>
      <c r="F18" s="28">
        <v>0</v>
      </c>
      <c r="G18" s="28">
        <f t="shared" si="4"/>
        <v>0</v>
      </c>
      <c r="H18" s="28">
        <v>1714.7</v>
      </c>
      <c r="I18" s="28">
        <v>1665.53</v>
      </c>
      <c r="J18" s="112">
        <v>0</v>
      </c>
      <c r="K18" s="28">
        <f t="shared" si="0"/>
        <v>0</v>
      </c>
      <c r="L18" s="28"/>
      <c r="M18" s="28"/>
      <c r="N18" s="28" t="str">
        <f t="shared" si="1"/>
        <v/>
      </c>
      <c r="O18" s="28" t="str">
        <f t="shared" si="2"/>
        <v/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f t="shared" si="3"/>
        <v>0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0</v>
      </c>
      <c r="C19" s="28">
        <v>777.89</v>
      </c>
      <c r="D19" s="28">
        <v>156.63999999999999</v>
      </c>
      <c r="E19" s="28">
        <v>0</v>
      </c>
      <c r="F19" s="28">
        <v>0</v>
      </c>
      <c r="G19" s="28">
        <f t="shared" si="4"/>
        <v>0</v>
      </c>
      <c r="H19" s="28">
        <v>1952.14</v>
      </c>
      <c r="I19" s="28">
        <v>1902.15</v>
      </c>
      <c r="J19" s="112">
        <v>0</v>
      </c>
      <c r="K19" s="28">
        <f t="shared" si="0"/>
        <v>0</v>
      </c>
      <c r="L19" s="28"/>
      <c r="M19" s="28"/>
      <c r="N19" s="28" t="str">
        <f t="shared" si="1"/>
        <v/>
      </c>
      <c r="O19" s="28" t="str">
        <f t="shared" si="2"/>
        <v/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f t="shared" si="3"/>
        <v>0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0</v>
      </c>
      <c r="C20" s="28">
        <v>1191.01</v>
      </c>
      <c r="D20" s="28">
        <v>54.78</v>
      </c>
      <c r="E20" s="28">
        <v>0</v>
      </c>
      <c r="F20" s="28">
        <v>0</v>
      </c>
      <c r="G20" s="28">
        <f t="shared" si="4"/>
        <v>0</v>
      </c>
      <c r="H20" s="28">
        <v>1772.94</v>
      </c>
      <c r="I20" s="28">
        <v>1731.58</v>
      </c>
      <c r="J20" s="112">
        <v>0</v>
      </c>
      <c r="K20" s="28">
        <f t="shared" si="0"/>
        <v>0</v>
      </c>
      <c r="L20" s="28"/>
      <c r="M20" s="28"/>
      <c r="N20" s="28" t="str">
        <f t="shared" si="1"/>
        <v/>
      </c>
      <c r="O20" s="28" t="str">
        <f t="shared" si="2"/>
        <v/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f t="shared" si="3"/>
        <v>0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0</v>
      </c>
      <c r="C21" s="28">
        <v>1311.87</v>
      </c>
      <c r="D21" s="28">
        <v>0</v>
      </c>
      <c r="E21" s="28">
        <v>0</v>
      </c>
      <c r="F21" s="28">
        <v>0</v>
      </c>
      <c r="G21" s="28">
        <f t="shared" si="4"/>
        <v>0</v>
      </c>
      <c r="H21" s="28">
        <v>1662.64</v>
      </c>
      <c r="I21" s="28">
        <v>1614.98</v>
      </c>
      <c r="J21" s="112">
        <v>0</v>
      </c>
      <c r="K21" s="28">
        <f t="shared" si="0"/>
        <v>0</v>
      </c>
      <c r="L21" s="28"/>
      <c r="M21" s="28"/>
      <c r="N21" s="28" t="str">
        <f t="shared" si="1"/>
        <v/>
      </c>
      <c r="O21" s="28" t="str">
        <f t="shared" si="2"/>
        <v/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f t="shared" si="3"/>
        <v>0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0</v>
      </c>
      <c r="C22" s="28">
        <v>196.26</v>
      </c>
      <c r="D22" s="28">
        <v>32.519999999999996</v>
      </c>
      <c r="E22" s="28">
        <v>0</v>
      </c>
      <c r="F22" s="28">
        <v>0</v>
      </c>
      <c r="G22" s="28">
        <f t="shared" si="4"/>
        <v>0</v>
      </c>
      <c r="H22" s="28">
        <v>2174.1799999999998</v>
      </c>
      <c r="I22" s="28">
        <v>2136.69</v>
      </c>
      <c r="J22" s="112">
        <v>0</v>
      </c>
      <c r="K22" s="28">
        <f t="shared" si="0"/>
        <v>0</v>
      </c>
      <c r="L22" s="28"/>
      <c r="M22" s="28"/>
      <c r="N22" s="28" t="str">
        <f t="shared" si="1"/>
        <v/>
      </c>
      <c r="O22" s="28" t="str">
        <f t="shared" si="2"/>
        <v/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f t="shared" si="3"/>
        <v>0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0</v>
      </c>
      <c r="C23" s="28">
        <v>459.9</v>
      </c>
      <c r="D23" s="28">
        <v>24.46</v>
      </c>
      <c r="E23" s="28">
        <v>0</v>
      </c>
      <c r="F23" s="28">
        <v>0</v>
      </c>
      <c r="G23" s="28">
        <f t="shared" si="4"/>
        <v>0</v>
      </c>
      <c r="H23" s="28">
        <v>1945.26</v>
      </c>
      <c r="I23" s="28">
        <v>1909.97</v>
      </c>
      <c r="J23" s="112">
        <v>0</v>
      </c>
      <c r="K23" s="28">
        <f t="shared" si="0"/>
        <v>0</v>
      </c>
      <c r="L23" s="28"/>
      <c r="M23" s="28"/>
      <c r="N23" s="28" t="str">
        <f t="shared" si="1"/>
        <v/>
      </c>
      <c r="O23" s="28" t="str">
        <f t="shared" si="2"/>
        <v/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f t="shared" si="3"/>
        <v>0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0</v>
      </c>
      <c r="C24" s="28">
        <v>692.39</v>
      </c>
      <c r="D24" s="28">
        <v>0</v>
      </c>
      <c r="E24" s="28">
        <v>0</v>
      </c>
      <c r="F24" s="28">
        <v>0</v>
      </c>
      <c r="G24" s="28">
        <f t="shared" si="4"/>
        <v>0</v>
      </c>
      <c r="H24" s="28">
        <v>1772.92</v>
      </c>
      <c r="I24" s="28">
        <v>1723.27</v>
      </c>
      <c r="J24" s="112">
        <v>0</v>
      </c>
      <c r="K24" s="28">
        <f t="shared" si="0"/>
        <v>0</v>
      </c>
      <c r="L24" s="28"/>
      <c r="M24" s="28"/>
      <c r="N24" s="28" t="str">
        <f t="shared" si="1"/>
        <v/>
      </c>
      <c r="O24" s="28" t="str">
        <f t="shared" si="2"/>
        <v/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f t="shared" si="3"/>
        <v>0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0</v>
      </c>
      <c r="C25" s="28">
        <v>614.58999999999992</v>
      </c>
      <c r="D25" s="28">
        <v>0</v>
      </c>
      <c r="E25" s="28">
        <v>0</v>
      </c>
      <c r="F25" s="28">
        <v>0</v>
      </c>
      <c r="G25" s="28">
        <f t="shared" si="4"/>
        <v>0</v>
      </c>
      <c r="H25" s="28">
        <v>1765.67</v>
      </c>
      <c r="I25" s="28">
        <v>1718.05</v>
      </c>
      <c r="J25" s="112">
        <v>0</v>
      </c>
      <c r="K25" s="28">
        <f t="shared" si="0"/>
        <v>0</v>
      </c>
      <c r="L25" s="28"/>
      <c r="M25" s="28"/>
      <c r="N25" s="28" t="str">
        <f t="shared" si="1"/>
        <v/>
      </c>
      <c r="O25" s="28" t="str">
        <f t="shared" si="2"/>
        <v/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f t="shared" si="3"/>
        <v>0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0</v>
      </c>
      <c r="C26" s="28">
        <v>592.85</v>
      </c>
      <c r="D26" s="28">
        <v>0</v>
      </c>
      <c r="E26" s="28">
        <v>0</v>
      </c>
      <c r="F26" s="28">
        <v>0</v>
      </c>
      <c r="G26" s="28">
        <f t="shared" si="4"/>
        <v>0</v>
      </c>
      <c r="H26" s="28">
        <v>1789.54</v>
      </c>
      <c r="I26" s="28">
        <v>1739.07</v>
      </c>
      <c r="J26" s="112">
        <v>0</v>
      </c>
      <c r="K26" s="28">
        <f t="shared" si="0"/>
        <v>0</v>
      </c>
      <c r="L26" s="28"/>
      <c r="M26" s="28"/>
      <c r="N26" s="28" t="str">
        <f t="shared" si="1"/>
        <v/>
      </c>
      <c r="O26" s="28" t="str">
        <f t="shared" si="2"/>
        <v/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f t="shared" si="3"/>
        <v>0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0</v>
      </c>
      <c r="C27" s="28">
        <v>609.91000000000008</v>
      </c>
      <c r="D27" s="28">
        <v>0</v>
      </c>
      <c r="E27" s="28">
        <v>0</v>
      </c>
      <c r="F27" s="28">
        <v>0</v>
      </c>
      <c r="G27" s="28">
        <f t="shared" si="4"/>
        <v>0</v>
      </c>
      <c r="H27" s="28">
        <v>1778.59</v>
      </c>
      <c r="I27" s="28">
        <v>1726.82</v>
      </c>
      <c r="J27" s="112">
        <v>0</v>
      </c>
      <c r="K27" s="28">
        <f t="shared" si="0"/>
        <v>0</v>
      </c>
      <c r="L27" s="28"/>
      <c r="M27" s="28"/>
      <c r="N27" s="28" t="str">
        <f t="shared" si="1"/>
        <v/>
      </c>
      <c r="O27" s="28" t="str">
        <f t="shared" si="2"/>
        <v/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f t="shared" si="3"/>
        <v>0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0</v>
      </c>
      <c r="C28" s="28">
        <v>590.44000000000005</v>
      </c>
      <c r="D28" s="28">
        <v>0.01</v>
      </c>
      <c r="E28" s="28">
        <v>0</v>
      </c>
      <c r="F28" s="28">
        <v>0</v>
      </c>
      <c r="G28" s="28">
        <f t="shared" si="4"/>
        <v>0</v>
      </c>
      <c r="H28" s="28">
        <v>1823.98</v>
      </c>
      <c r="I28" s="28">
        <v>1766.41</v>
      </c>
      <c r="J28" s="112">
        <v>0</v>
      </c>
      <c r="K28" s="28">
        <f t="shared" si="0"/>
        <v>0</v>
      </c>
      <c r="L28" s="28"/>
      <c r="M28" s="28"/>
      <c r="N28" s="28" t="str">
        <f t="shared" si="1"/>
        <v/>
      </c>
      <c r="O28" s="28" t="str">
        <f t="shared" si="2"/>
        <v/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f t="shared" si="3"/>
        <v>0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0</v>
      </c>
      <c r="C29" s="28">
        <v>656.74</v>
      </c>
      <c r="D29" s="28">
        <v>0</v>
      </c>
      <c r="E29" s="28">
        <v>0</v>
      </c>
      <c r="F29" s="28">
        <v>0</v>
      </c>
      <c r="G29" s="28">
        <f t="shared" si="4"/>
        <v>0</v>
      </c>
      <c r="H29" s="28">
        <v>1757.96</v>
      </c>
      <c r="I29" s="28">
        <v>1697.2</v>
      </c>
      <c r="J29" s="112">
        <v>0</v>
      </c>
      <c r="K29" s="28">
        <f t="shared" si="0"/>
        <v>0</v>
      </c>
      <c r="L29" s="28"/>
      <c r="M29" s="28"/>
      <c r="N29" s="28" t="str">
        <f t="shared" si="1"/>
        <v/>
      </c>
      <c r="O29" s="28" t="str">
        <f t="shared" si="2"/>
        <v/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f t="shared" si="3"/>
        <v>0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0</v>
      </c>
      <c r="C30" s="28">
        <v>848.27</v>
      </c>
      <c r="D30" s="28">
        <v>0</v>
      </c>
      <c r="E30" s="28">
        <v>0</v>
      </c>
      <c r="F30" s="28">
        <v>0</v>
      </c>
      <c r="G30" s="28">
        <f t="shared" si="4"/>
        <v>0</v>
      </c>
      <c r="H30" s="28">
        <v>1587.45</v>
      </c>
      <c r="I30" s="28">
        <v>1523.27</v>
      </c>
      <c r="J30" s="112">
        <v>0</v>
      </c>
      <c r="K30" s="28">
        <f t="shared" si="0"/>
        <v>0</v>
      </c>
      <c r="L30" s="28"/>
      <c r="M30" s="28"/>
      <c r="N30" s="28" t="str">
        <f t="shared" si="1"/>
        <v/>
      </c>
      <c r="O30" s="28" t="str">
        <f t="shared" si="2"/>
        <v/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f t="shared" si="3"/>
        <v>0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0</v>
      </c>
      <c r="C31" s="28">
        <v>851.43000000000006</v>
      </c>
      <c r="D31" s="28">
        <v>0</v>
      </c>
      <c r="E31" s="28">
        <v>0</v>
      </c>
      <c r="F31" s="28">
        <v>0</v>
      </c>
      <c r="G31" s="28">
        <f t="shared" si="4"/>
        <v>0</v>
      </c>
      <c r="H31" s="28">
        <v>1577.7</v>
      </c>
      <c r="I31" s="28">
        <v>1512.36</v>
      </c>
      <c r="J31" s="112">
        <v>0</v>
      </c>
      <c r="K31" s="28">
        <f t="shared" si="0"/>
        <v>0</v>
      </c>
      <c r="L31" s="28"/>
      <c r="M31" s="28"/>
      <c r="N31" s="28" t="str">
        <f t="shared" si="1"/>
        <v/>
      </c>
      <c r="O31" s="28" t="str">
        <f t="shared" si="2"/>
        <v/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f t="shared" si="3"/>
        <v>0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0</v>
      </c>
      <c r="C32" s="28">
        <v>852.39</v>
      </c>
      <c r="D32" s="28">
        <v>0</v>
      </c>
      <c r="E32" s="28">
        <v>0</v>
      </c>
      <c r="F32" s="28">
        <v>0</v>
      </c>
      <c r="G32" s="28">
        <f t="shared" si="4"/>
        <v>0</v>
      </c>
      <c r="H32" s="28">
        <v>1571.23</v>
      </c>
      <c r="I32" s="28">
        <v>1506.93</v>
      </c>
      <c r="J32" s="112">
        <v>0</v>
      </c>
      <c r="K32" s="28">
        <f t="shared" si="0"/>
        <v>0</v>
      </c>
      <c r="L32" s="28"/>
      <c r="M32" s="28"/>
      <c r="N32" s="28" t="str">
        <f t="shared" si="1"/>
        <v/>
      </c>
      <c r="O32" s="28" t="str">
        <f t="shared" si="2"/>
        <v/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f t="shared" si="3"/>
        <v>0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0</v>
      </c>
      <c r="C33" s="28">
        <v>828.81999999999994</v>
      </c>
      <c r="D33" s="28">
        <v>0</v>
      </c>
      <c r="E33" s="28">
        <v>0</v>
      </c>
      <c r="F33" s="28">
        <v>0</v>
      </c>
      <c r="G33" s="28">
        <f t="shared" si="4"/>
        <v>0</v>
      </c>
      <c r="H33" s="28">
        <v>1575.84</v>
      </c>
      <c r="I33" s="28">
        <v>1513.05</v>
      </c>
      <c r="J33" s="112">
        <v>0</v>
      </c>
      <c r="K33" s="28">
        <f t="shared" si="0"/>
        <v>0</v>
      </c>
      <c r="L33" s="28"/>
      <c r="M33" s="28"/>
      <c r="N33" s="28" t="str">
        <f t="shared" si="1"/>
        <v/>
      </c>
      <c r="O33" s="28" t="str">
        <f t="shared" si="2"/>
        <v/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f t="shared" si="3"/>
        <v>0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0</v>
      </c>
      <c r="C34" s="28">
        <v>853.82</v>
      </c>
      <c r="D34" s="28">
        <v>0</v>
      </c>
      <c r="E34" s="28">
        <v>0</v>
      </c>
      <c r="F34" s="28">
        <v>0</v>
      </c>
      <c r="G34" s="28">
        <f t="shared" si="4"/>
        <v>0</v>
      </c>
      <c r="H34" s="28">
        <v>1558.79</v>
      </c>
      <c r="I34" s="28">
        <v>1493.46</v>
      </c>
      <c r="J34" s="112">
        <v>0</v>
      </c>
      <c r="K34" s="28">
        <f t="shared" si="0"/>
        <v>0</v>
      </c>
      <c r="L34" s="28"/>
      <c r="M34" s="28"/>
      <c r="N34" s="28" t="str">
        <f t="shared" si="1"/>
        <v/>
      </c>
      <c r="O34" s="28" t="str">
        <f t="shared" si="2"/>
        <v/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f t="shared" si="3"/>
        <v>0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0</v>
      </c>
      <c r="C35" s="28">
        <v>857.04</v>
      </c>
      <c r="D35" s="28">
        <v>0</v>
      </c>
      <c r="E35" s="28">
        <v>0</v>
      </c>
      <c r="F35" s="28">
        <v>0</v>
      </c>
      <c r="G35" s="28">
        <f t="shared" si="4"/>
        <v>0</v>
      </c>
      <c r="H35" s="28">
        <v>1550.24</v>
      </c>
      <c r="I35" s="28">
        <v>1488.8</v>
      </c>
      <c r="J35" s="112">
        <v>0</v>
      </c>
      <c r="K35" s="116">
        <f t="shared" si="0"/>
        <v>0</v>
      </c>
      <c r="L35" s="28"/>
      <c r="M35" s="28"/>
      <c r="N35" s="28" t="str">
        <f t="shared" si="1"/>
        <v/>
      </c>
      <c r="O35" s="28" t="str">
        <f t="shared" si="2"/>
        <v/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f t="shared" si="3"/>
        <v>0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0</v>
      </c>
      <c r="C36" s="35">
        <f t="shared" ref="C36:J36" si="5">SUM(C12:C35)</f>
        <v>19768.390000000003</v>
      </c>
      <c r="D36" s="35">
        <f t="shared" si="5"/>
        <v>268.40999999999997</v>
      </c>
      <c r="E36" s="35">
        <f t="shared" si="5"/>
        <v>0</v>
      </c>
      <c r="F36" s="35">
        <f t="shared" si="5"/>
        <v>0</v>
      </c>
      <c r="G36" s="35">
        <f t="shared" si="5"/>
        <v>0</v>
      </c>
      <c r="H36" s="35">
        <f t="shared" si="5"/>
        <v>43515.909999999989</v>
      </c>
      <c r="I36" s="35">
        <f t="shared" si="5"/>
        <v>42207.21</v>
      </c>
      <c r="J36" s="35">
        <f t="shared" si="5"/>
        <v>0</v>
      </c>
      <c r="K36" s="36"/>
      <c r="L36" s="37"/>
      <c r="M36" s="38"/>
      <c r="N36" s="35" t="str">
        <f>IFERROR(AVERAGE(N12:N35),"")</f>
        <v/>
      </c>
      <c r="O36" s="39">
        <f t="shared" ref="O36:U36" si="6">SUM(O12:O35)</f>
        <v>0</v>
      </c>
      <c r="P36" s="39">
        <f t="shared" si="6"/>
        <v>0</v>
      </c>
      <c r="Q36" s="39">
        <f t="shared" si="6"/>
        <v>0</v>
      </c>
      <c r="R36" s="39">
        <f t="shared" si="6"/>
        <v>0</v>
      </c>
      <c r="S36" s="39">
        <f t="shared" si="6"/>
        <v>0</v>
      </c>
      <c r="T36" s="39">
        <f t="shared" si="6"/>
        <v>0</v>
      </c>
      <c r="U36" s="39">
        <f t="shared" si="6"/>
        <v>0</v>
      </c>
      <c r="V36" s="39">
        <f>SUM(V12:V35)</f>
        <v>0</v>
      </c>
      <c r="W36" s="40">
        <f>SUM(W12:W35)</f>
        <v>0</v>
      </c>
      <c r="X36" s="40"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X36</f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85723.12</v>
      </c>
      <c r="J41" s="41"/>
      <c r="K41" s="13" t="s">
        <v>59</v>
      </c>
      <c r="L41" s="113">
        <v>83169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0</v>
      </c>
      <c r="B42" s="57">
        <v>0</v>
      </c>
      <c r="C42" s="57">
        <v>1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22623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 t="str">
        <f>IFERROR(3412.14/N36,"")</f>
        <v/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19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José Leal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2362.2600000000002</v>
      </c>
      <c r="D58" s="81">
        <v>0</v>
      </c>
      <c r="E58" s="82">
        <v>0</v>
      </c>
      <c r="F58" s="83">
        <v>4928.47</v>
      </c>
      <c r="G58" s="82">
        <v>0</v>
      </c>
      <c r="H58" s="84">
        <f t="shared" ref="H58:H81" si="7">IF(G58=0,0,100*(E58-G58)/G58)</f>
        <v>0</v>
      </c>
      <c r="I58" s="85"/>
      <c r="J58" s="85"/>
      <c r="K58" s="86" t="str">
        <f t="shared" ref="K58:K81" si="8">IFERROR(U58*1000*2.2*$K$92/E58/1000,"")</f>
        <v/>
      </c>
      <c r="L58" s="87"/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2330.61</v>
      </c>
      <c r="D59" s="81">
        <v>0</v>
      </c>
      <c r="E59" s="82">
        <v>0</v>
      </c>
      <c r="F59" s="82">
        <v>4916.76</v>
      </c>
      <c r="G59" s="82">
        <v>0</v>
      </c>
      <c r="H59" s="91">
        <f t="shared" si="7"/>
        <v>0</v>
      </c>
      <c r="I59" s="85"/>
      <c r="J59" s="85"/>
      <c r="K59" s="86" t="str">
        <f t="shared" si="8"/>
        <v/>
      </c>
      <c r="L59" s="87" t="str">
        <f t="shared" ref="L59:L81" si="9">IF(OR(H59&gt;5,H59&lt;-5),E59-G59,"")</f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10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2367.2199999999998</v>
      </c>
      <c r="D60" s="81">
        <v>0</v>
      </c>
      <c r="E60" s="82">
        <v>0</v>
      </c>
      <c r="F60" s="82">
        <v>4906.0600000000004</v>
      </c>
      <c r="G60" s="82">
        <v>0</v>
      </c>
      <c r="H60" s="91">
        <f t="shared" si="7"/>
        <v>0</v>
      </c>
      <c r="I60" s="85"/>
      <c r="J60" s="85"/>
      <c r="K60" s="86" t="str">
        <f t="shared" si="8"/>
        <v/>
      </c>
      <c r="L60" s="87" t="str">
        <f t="shared" si="9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10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2374.09</v>
      </c>
      <c r="D61" s="81">
        <v>0</v>
      </c>
      <c r="E61" s="82">
        <v>0</v>
      </c>
      <c r="F61" s="82">
        <v>4915.7299999999996</v>
      </c>
      <c r="G61" s="82">
        <v>0</v>
      </c>
      <c r="H61" s="91">
        <f t="shared" si="7"/>
        <v>0</v>
      </c>
      <c r="I61" s="85"/>
      <c r="J61" s="85"/>
      <c r="K61" s="86" t="str">
        <f t="shared" si="8"/>
        <v/>
      </c>
      <c r="L61" s="87" t="str">
        <f t="shared" si="9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10"/>
        <v>0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2382.42</v>
      </c>
      <c r="D62" s="81">
        <v>0</v>
      </c>
      <c r="E62" s="82">
        <v>0</v>
      </c>
      <c r="F62" s="82">
        <v>4905.3599999999997</v>
      </c>
      <c r="G62" s="82">
        <v>0</v>
      </c>
      <c r="H62" s="91">
        <f t="shared" si="7"/>
        <v>0</v>
      </c>
      <c r="I62" s="85"/>
      <c r="J62" s="85"/>
      <c r="K62" s="86" t="str">
        <f t="shared" si="8"/>
        <v/>
      </c>
      <c r="L62" s="87" t="str">
        <f t="shared" si="9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10"/>
        <v>0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2389.09</v>
      </c>
      <c r="D63" s="81">
        <v>0</v>
      </c>
      <c r="E63" s="82">
        <v>0</v>
      </c>
      <c r="F63" s="82">
        <v>4913.0600000000004</v>
      </c>
      <c r="G63" s="82">
        <v>0</v>
      </c>
      <c r="H63" s="91">
        <f t="shared" si="7"/>
        <v>0</v>
      </c>
      <c r="I63" s="85"/>
      <c r="J63" s="85"/>
      <c r="K63" s="86" t="str">
        <f t="shared" si="8"/>
        <v/>
      </c>
      <c r="L63" s="87" t="str">
        <f t="shared" si="9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10"/>
        <v>0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2361.91</v>
      </c>
      <c r="D64" s="81">
        <v>0</v>
      </c>
      <c r="E64" s="82">
        <v>0</v>
      </c>
      <c r="F64" s="82">
        <v>4896.1099999999997</v>
      </c>
      <c r="G64" s="82">
        <v>0</v>
      </c>
      <c r="H64" s="91">
        <f t="shared" si="7"/>
        <v>0</v>
      </c>
      <c r="I64" s="85"/>
      <c r="J64" s="85"/>
      <c r="K64" s="86" t="str">
        <f t="shared" si="8"/>
        <v/>
      </c>
      <c r="L64" s="87" t="str">
        <f t="shared" si="9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10"/>
        <v>0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2359.91</v>
      </c>
      <c r="D65" s="81">
        <v>0</v>
      </c>
      <c r="E65" s="82">
        <v>0</v>
      </c>
      <c r="F65" s="82">
        <v>4904.83</v>
      </c>
      <c r="G65" s="82">
        <v>0</v>
      </c>
      <c r="H65" s="91">
        <f t="shared" si="7"/>
        <v>0</v>
      </c>
      <c r="I65" s="85"/>
      <c r="J65" s="85"/>
      <c r="K65" s="86" t="str">
        <f t="shared" si="8"/>
        <v/>
      </c>
      <c r="L65" s="87" t="str">
        <f t="shared" si="9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10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2324.73</v>
      </c>
      <c r="D66" s="81">
        <v>0</v>
      </c>
      <c r="E66" s="82">
        <v>0</v>
      </c>
      <c r="F66" s="82">
        <v>4974.1099999999997</v>
      </c>
      <c r="G66" s="82">
        <v>0</v>
      </c>
      <c r="H66" s="91">
        <f t="shared" si="7"/>
        <v>0</v>
      </c>
      <c r="I66" s="85"/>
      <c r="J66" s="85"/>
      <c r="K66" s="86" t="str">
        <f t="shared" si="8"/>
        <v/>
      </c>
      <c r="L66" s="87" t="str">
        <f t="shared" si="9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10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2334.46</v>
      </c>
      <c r="D67" s="81">
        <v>0</v>
      </c>
      <c r="E67" s="82">
        <v>0</v>
      </c>
      <c r="F67" s="82">
        <v>4947.83</v>
      </c>
      <c r="G67" s="82">
        <v>0</v>
      </c>
      <c r="H67" s="91">
        <f t="shared" si="7"/>
        <v>0</v>
      </c>
      <c r="I67" s="85"/>
      <c r="J67" s="85"/>
      <c r="K67" s="86" t="str">
        <f t="shared" si="8"/>
        <v/>
      </c>
      <c r="L67" s="87" t="str">
        <f t="shared" si="9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10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2305.33</v>
      </c>
      <c r="D68" s="81">
        <v>0</v>
      </c>
      <c r="E68" s="82">
        <v>0</v>
      </c>
      <c r="F68" s="82">
        <v>4981.2700000000004</v>
      </c>
      <c r="G68" s="82">
        <v>0</v>
      </c>
      <c r="H68" s="91">
        <f t="shared" si="7"/>
        <v>0</v>
      </c>
      <c r="I68" s="85"/>
      <c r="K68" s="86" t="str">
        <f t="shared" si="8"/>
        <v/>
      </c>
      <c r="L68" s="87" t="str">
        <f t="shared" si="9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10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2277.4499999999998</v>
      </c>
      <c r="D69" s="81">
        <v>0</v>
      </c>
      <c r="E69" s="82">
        <v>0</v>
      </c>
      <c r="F69" s="82">
        <v>4962.8100000000004</v>
      </c>
      <c r="G69" s="82">
        <v>0</v>
      </c>
      <c r="H69" s="91">
        <f t="shared" si="7"/>
        <v>0</v>
      </c>
      <c r="I69" s="85"/>
      <c r="J69" s="85"/>
      <c r="K69" s="86" t="str">
        <f t="shared" si="8"/>
        <v/>
      </c>
      <c r="L69" s="87" t="str">
        <f t="shared" si="9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10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2264.75</v>
      </c>
      <c r="D70" s="81">
        <v>0</v>
      </c>
      <c r="E70" s="82">
        <v>0</v>
      </c>
      <c r="F70" s="82">
        <v>4956.3900000000003</v>
      </c>
      <c r="G70" s="82">
        <v>0</v>
      </c>
      <c r="H70" s="91">
        <f t="shared" si="7"/>
        <v>0</v>
      </c>
      <c r="I70" s="85"/>
      <c r="J70" s="85"/>
      <c r="K70" s="86" t="str">
        <f t="shared" si="8"/>
        <v/>
      </c>
      <c r="L70" s="87" t="str">
        <f t="shared" si="9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10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2059.4699999999998</v>
      </c>
      <c r="D71" s="81">
        <v>0</v>
      </c>
      <c r="E71" s="82">
        <v>0</v>
      </c>
      <c r="F71" s="82">
        <v>5278.68</v>
      </c>
      <c r="G71" s="82">
        <v>0</v>
      </c>
      <c r="H71" s="91">
        <f t="shared" si="7"/>
        <v>0</v>
      </c>
      <c r="I71" s="85"/>
      <c r="J71" s="85"/>
      <c r="K71" s="86" t="str">
        <f t="shared" si="8"/>
        <v/>
      </c>
      <c r="L71" s="87" t="str">
        <f t="shared" si="9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10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2035.42</v>
      </c>
      <c r="D72" s="81">
        <v>0</v>
      </c>
      <c r="E72" s="82">
        <v>0</v>
      </c>
      <c r="F72" s="82">
        <v>5301.52</v>
      </c>
      <c r="G72" s="82">
        <v>0</v>
      </c>
      <c r="H72" s="91">
        <f t="shared" si="7"/>
        <v>0</v>
      </c>
      <c r="I72" s="85"/>
      <c r="J72" s="85"/>
      <c r="K72" s="86" t="str">
        <f t="shared" si="8"/>
        <v/>
      </c>
      <c r="L72" s="87" t="str">
        <f t="shared" si="9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10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2031.29</v>
      </c>
      <c r="D73" s="81">
        <v>0</v>
      </c>
      <c r="E73" s="82">
        <v>0</v>
      </c>
      <c r="F73" s="82">
        <v>5195.3</v>
      </c>
      <c r="G73" s="82">
        <v>0</v>
      </c>
      <c r="H73" s="91">
        <f t="shared" si="7"/>
        <v>0</v>
      </c>
      <c r="I73" s="85"/>
      <c r="J73" s="85"/>
      <c r="K73" s="86" t="str">
        <f t="shared" si="8"/>
        <v/>
      </c>
      <c r="L73" s="87" t="str">
        <f t="shared" si="9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10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2161.85</v>
      </c>
      <c r="D74" s="81">
        <v>0</v>
      </c>
      <c r="E74" s="82">
        <v>0</v>
      </c>
      <c r="F74" s="82">
        <v>5063.42</v>
      </c>
      <c r="G74" s="82">
        <v>0</v>
      </c>
      <c r="H74" s="91">
        <f t="shared" si="7"/>
        <v>0</v>
      </c>
      <c r="I74" s="85"/>
      <c r="J74" s="85"/>
      <c r="K74" s="86" t="str">
        <f t="shared" si="8"/>
        <v/>
      </c>
      <c r="L74" s="87" t="str">
        <f t="shared" si="9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10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2272.21</v>
      </c>
      <c r="D75" s="81">
        <v>0</v>
      </c>
      <c r="E75" s="82">
        <v>0</v>
      </c>
      <c r="F75" s="82">
        <v>5002.22</v>
      </c>
      <c r="G75" s="82">
        <v>0</v>
      </c>
      <c r="H75" s="91">
        <f t="shared" si="7"/>
        <v>0</v>
      </c>
      <c r="I75" s="85"/>
      <c r="J75" s="85"/>
      <c r="K75" s="86" t="str">
        <f t="shared" si="8"/>
        <v/>
      </c>
      <c r="L75" s="87" t="str">
        <f t="shared" si="9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10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2331.6</v>
      </c>
      <c r="D76" s="81">
        <v>0</v>
      </c>
      <c r="E76" s="82">
        <v>0</v>
      </c>
      <c r="F76" s="82">
        <v>4946.04</v>
      </c>
      <c r="G76" s="82">
        <v>0</v>
      </c>
      <c r="H76" s="91">
        <f t="shared" si="7"/>
        <v>0</v>
      </c>
      <c r="I76" s="85"/>
      <c r="J76" s="85"/>
      <c r="K76" s="86" t="str">
        <f t="shared" si="8"/>
        <v/>
      </c>
      <c r="L76" s="87" t="str">
        <f t="shared" si="9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10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2239.46</v>
      </c>
      <c r="D77" s="81">
        <v>0</v>
      </c>
      <c r="E77" s="82">
        <v>0</v>
      </c>
      <c r="F77" s="82">
        <v>5142.24</v>
      </c>
      <c r="G77" s="82">
        <v>0</v>
      </c>
      <c r="H77" s="91">
        <f t="shared" si="7"/>
        <v>0</v>
      </c>
      <c r="I77" s="85"/>
      <c r="J77" s="85"/>
      <c r="K77" s="86" t="str">
        <f t="shared" si="8"/>
        <v/>
      </c>
      <c r="L77" s="87" t="str">
        <f t="shared" si="9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10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2168.1999999999998</v>
      </c>
      <c r="D78" s="81">
        <v>0</v>
      </c>
      <c r="E78" s="82">
        <v>0</v>
      </c>
      <c r="F78" s="82">
        <v>5276.92</v>
      </c>
      <c r="G78" s="82">
        <v>0</v>
      </c>
      <c r="H78" s="91">
        <f t="shared" si="7"/>
        <v>0</v>
      </c>
      <c r="I78" s="85"/>
      <c r="J78" s="85"/>
      <c r="K78" s="86" t="str">
        <f t="shared" si="8"/>
        <v/>
      </c>
      <c r="L78" s="87" t="str">
        <f t="shared" si="9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0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2324.66</v>
      </c>
      <c r="D79" s="81">
        <v>0</v>
      </c>
      <c r="E79" s="82">
        <v>0</v>
      </c>
      <c r="F79" s="82">
        <v>4948.84</v>
      </c>
      <c r="G79" s="82">
        <v>0</v>
      </c>
      <c r="H79" s="91">
        <f t="shared" si="7"/>
        <v>0</v>
      </c>
      <c r="I79" s="85"/>
      <c r="J79" s="85"/>
      <c r="K79" s="86" t="str">
        <f t="shared" si="8"/>
        <v/>
      </c>
      <c r="L79" s="87" t="str">
        <f t="shared" si="9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0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2337.11</v>
      </c>
      <c r="D80" s="81">
        <v>0</v>
      </c>
      <c r="E80" s="82">
        <v>0</v>
      </c>
      <c r="F80" s="82">
        <v>4919.58</v>
      </c>
      <c r="G80" s="82">
        <v>0</v>
      </c>
      <c r="H80" s="91">
        <f t="shared" si="7"/>
        <v>0</v>
      </c>
      <c r="I80" s="85"/>
      <c r="J80" s="85"/>
      <c r="K80" s="86" t="str">
        <f t="shared" si="8"/>
        <v/>
      </c>
      <c r="L80" s="87" t="str">
        <f t="shared" si="9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0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2334.91</v>
      </c>
      <c r="D81" s="28">
        <v>0</v>
      </c>
      <c r="E81" s="96">
        <v>0</v>
      </c>
      <c r="F81" s="97">
        <v>4931.74</v>
      </c>
      <c r="G81" s="82">
        <v>0</v>
      </c>
      <c r="H81" s="98">
        <f t="shared" si="7"/>
        <v>0</v>
      </c>
      <c r="I81" s="115"/>
      <c r="J81" s="85"/>
      <c r="K81" s="99" t="str">
        <f t="shared" si="8"/>
        <v/>
      </c>
      <c r="L81" s="87" t="str">
        <f t="shared" si="9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0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1">SUM(B58:B81)</f>
        <v>0</v>
      </c>
      <c r="C82" s="35">
        <f t="shared" si="11"/>
        <v>54730.41</v>
      </c>
      <c r="D82" s="35">
        <f t="shared" si="11"/>
        <v>0</v>
      </c>
      <c r="E82" s="35">
        <f t="shared" si="11"/>
        <v>0</v>
      </c>
      <c r="F82" s="101">
        <f t="shared" si="11"/>
        <v>120115.29000000001</v>
      </c>
      <c r="G82" s="35">
        <f t="shared" si="11"/>
        <v>0</v>
      </c>
      <c r="H82" s="102"/>
      <c r="I82" s="103"/>
      <c r="J82" s="104"/>
      <c r="K82" s="105" t="str">
        <f>IFERROR(AVERAGE(K58:K81),"")</f>
        <v/>
      </c>
      <c r="L82" s="40">
        <f t="shared" ref="L82:U82" si="12">SUM(L58:L81)</f>
        <v>0</v>
      </c>
      <c r="M82" s="40">
        <f t="shared" si="12"/>
        <v>0</v>
      </c>
      <c r="N82" s="39">
        <f t="shared" si="12"/>
        <v>0</v>
      </c>
      <c r="O82" s="39">
        <f t="shared" si="12"/>
        <v>0</v>
      </c>
      <c r="P82" s="39">
        <f t="shared" si="12"/>
        <v>0</v>
      </c>
      <c r="Q82" s="39">
        <f t="shared" si="12"/>
        <v>0</v>
      </c>
      <c r="R82" s="39">
        <f t="shared" si="12"/>
        <v>0</v>
      </c>
      <c r="S82" s="39">
        <f t="shared" si="12"/>
        <v>0</v>
      </c>
      <c r="T82" s="39">
        <f t="shared" si="12"/>
        <v>0</v>
      </c>
      <c r="U82" s="39">
        <f t="shared" si="12"/>
        <v>0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120115.29000000001</v>
      </c>
      <c r="J87" s="41"/>
      <c r="K87" s="62" t="s">
        <v>59</v>
      </c>
      <c r="L87" s="113">
        <v>5897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</v>
      </c>
      <c r="B88" s="57">
        <v>0</v>
      </c>
      <c r="C88" s="57">
        <v>1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2302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 t="str">
        <f>IFERROR(3412.14/K82,"")</f>
        <v/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A1:C1"/>
    <mergeCell ref="D1:U2"/>
    <mergeCell ref="V1:X4"/>
    <mergeCell ref="A2:C2"/>
    <mergeCell ref="A3:C3"/>
    <mergeCell ref="D3:U4"/>
    <mergeCell ref="A4:C4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39:A40"/>
    <mergeCell ref="B39:B40"/>
    <mergeCell ref="C39:C40"/>
    <mergeCell ref="D39:D40"/>
    <mergeCell ref="H39:I40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H41:H42"/>
    <mergeCell ref="I41:I42"/>
    <mergeCell ref="K44:L44"/>
    <mergeCell ref="C45:I46"/>
    <mergeCell ref="K45:L45"/>
    <mergeCell ref="K46:L4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A85:A86"/>
    <mergeCell ref="B85:B86"/>
    <mergeCell ref="C85:C86"/>
    <mergeCell ref="D85:D86"/>
    <mergeCell ref="H85:I86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K90:L90"/>
    <mergeCell ref="B91:B92"/>
    <mergeCell ref="C91:I92"/>
    <mergeCell ref="K91:L91"/>
    <mergeCell ref="K92:L9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820B-2996-4E50-A1A0-D90D26AADAA3}">
  <dimension ref="A1:Z109"/>
  <sheetViews>
    <sheetView topLeftCell="A66" zoomScale="85" zoomScaleNormal="85" workbookViewId="0">
      <selection activeCell="L87" sqref="L87:L88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20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81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0</v>
      </c>
      <c r="C12" s="28">
        <v>847.44</v>
      </c>
      <c r="D12" s="28">
        <v>0</v>
      </c>
      <c r="E12" s="28">
        <v>0</v>
      </c>
      <c r="F12" s="28">
        <v>0</v>
      </c>
      <c r="G12" s="28">
        <f>+E12+F12</f>
        <v>0</v>
      </c>
      <c r="H12" s="28">
        <v>1614.47</v>
      </c>
      <c r="I12" s="28">
        <v>1552.1</v>
      </c>
      <c r="J12" s="112">
        <v>0</v>
      </c>
      <c r="K12" s="28">
        <f t="shared" ref="K12:K35" si="0">IF(J12=0,0,100*(G12-J12)/J12)</f>
        <v>0</v>
      </c>
      <c r="L12" s="28"/>
      <c r="M12" s="28"/>
      <c r="N12" s="28" t="str">
        <f t="shared" ref="N12:N35" si="1">IFERROR(V12*1000*2.2*$K$46/G12/1000,"")</f>
        <v/>
      </c>
      <c r="O12" s="28" t="str">
        <f t="shared" ref="O12:O35" si="2">IF(OR(K12&gt;5,K12&lt;-5),G12-J12,"")</f>
        <v/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f t="shared" ref="V12:V35" si="3">+SUM(P12:U12)</f>
        <v>0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0</v>
      </c>
      <c r="C13" s="28">
        <v>862.16</v>
      </c>
      <c r="D13" s="28">
        <v>0</v>
      </c>
      <c r="E13" s="28">
        <v>0</v>
      </c>
      <c r="F13" s="28">
        <v>0</v>
      </c>
      <c r="G13" s="28">
        <f t="shared" ref="G13:G35" si="4">+E13+F13</f>
        <v>0</v>
      </c>
      <c r="H13" s="28">
        <v>1608.19</v>
      </c>
      <c r="I13" s="28">
        <v>1546.49</v>
      </c>
      <c r="J13" s="112">
        <v>0</v>
      </c>
      <c r="K13" s="28">
        <f t="shared" si="0"/>
        <v>0</v>
      </c>
      <c r="L13" s="28"/>
      <c r="M13" s="28"/>
      <c r="N13" s="28" t="str">
        <f t="shared" si="1"/>
        <v/>
      </c>
      <c r="O13" s="28" t="str">
        <f t="shared" si="2"/>
        <v/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f t="shared" si="3"/>
        <v>0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0</v>
      </c>
      <c r="C14" s="28">
        <v>876.85</v>
      </c>
      <c r="D14" s="28">
        <v>0</v>
      </c>
      <c r="E14" s="28">
        <v>0</v>
      </c>
      <c r="F14" s="28">
        <v>0</v>
      </c>
      <c r="G14" s="28">
        <f t="shared" si="4"/>
        <v>0</v>
      </c>
      <c r="H14" s="28">
        <v>1603.25</v>
      </c>
      <c r="I14" s="28">
        <v>1543.13</v>
      </c>
      <c r="J14" s="112">
        <v>0</v>
      </c>
      <c r="K14" s="28">
        <f t="shared" si="0"/>
        <v>0</v>
      </c>
      <c r="L14" s="28"/>
      <c r="M14" s="28"/>
      <c r="N14" s="28" t="str">
        <f t="shared" si="1"/>
        <v/>
      </c>
      <c r="O14" s="28" t="str">
        <f t="shared" si="2"/>
        <v/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f t="shared" si="3"/>
        <v>0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0</v>
      </c>
      <c r="C15" s="28">
        <v>877</v>
      </c>
      <c r="D15" s="28">
        <v>0</v>
      </c>
      <c r="E15" s="28">
        <v>0</v>
      </c>
      <c r="F15" s="28">
        <v>0</v>
      </c>
      <c r="G15" s="28">
        <f t="shared" si="4"/>
        <v>0</v>
      </c>
      <c r="H15" s="28">
        <v>1608.5</v>
      </c>
      <c r="I15" s="28">
        <v>1549.01</v>
      </c>
      <c r="J15" s="112">
        <v>0</v>
      </c>
      <c r="K15" s="28">
        <f t="shared" si="0"/>
        <v>0</v>
      </c>
      <c r="L15" s="28"/>
      <c r="M15" s="28"/>
      <c r="N15" s="28" t="str">
        <f t="shared" si="1"/>
        <v/>
      </c>
      <c r="O15" s="28" t="str">
        <f t="shared" si="2"/>
        <v/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f t="shared" si="3"/>
        <v>0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0</v>
      </c>
      <c r="C16" s="28">
        <v>860.28</v>
      </c>
      <c r="D16" s="28">
        <v>0</v>
      </c>
      <c r="E16" s="28">
        <v>0</v>
      </c>
      <c r="F16" s="28">
        <v>0</v>
      </c>
      <c r="G16" s="28">
        <f t="shared" si="4"/>
        <v>0</v>
      </c>
      <c r="H16" s="28">
        <v>1619.63</v>
      </c>
      <c r="I16" s="28">
        <v>1560.19</v>
      </c>
      <c r="J16" s="112">
        <v>0</v>
      </c>
      <c r="K16" s="28">
        <f t="shared" si="0"/>
        <v>0</v>
      </c>
      <c r="L16" s="28"/>
      <c r="M16" s="28"/>
      <c r="N16" s="28" t="str">
        <f t="shared" si="1"/>
        <v/>
      </c>
      <c r="O16" s="28" t="str">
        <f t="shared" si="2"/>
        <v/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f t="shared" si="3"/>
        <v>0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0</v>
      </c>
      <c r="C17" s="28">
        <v>877.62</v>
      </c>
      <c r="D17" s="28">
        <v>0</v>
      </c>
      <c r="E17" s="28">
        <v>0</v>
      </c>
      <c r="F17" s="28">
        <v>0</v>
      </c>
      <c r="G17" s="28">
        <f t="shared" si="4"/>
        <v>0</v>
      </c>
      <c r="H17" s="28">
        <v>1605.29</v>
      </c>
      <c r="I17" s="28">
        <v>1562.97</v>
      </c>
      <c r="J17" s="112">
        <v>0</v>
      </c>
      <c r="K17" s="28">
        <f t="shared" si="0"/>
        <v>0</v>
      </c>
      <c r="L17" s="28"/>
      <c r="M17" s="28"/>
      <c r="N17" s="28" t="str">
        <f t="shared" si="1"/>
        <v/>
      </c>
      <c r="O17" s="28" t="str">
        <f t="shared" si="2"/>
        <v/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f t="shared" si="3"/>
        <v>0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0</v>
      </c>
      <c r="C18" s="28">
        <v>857.06999999999994</v>
      </c>
      <c r="D18" s="28">
        <v>0</v>
      </c>
      <c r="E18" s="28">
        <v>0</v>
      </c>
      <c r="F18" s="28">
        <v>0</v>
      </c>
      <c r="G18" s="28">
        <f t="shared" si="4"/>
        <v>0</v>
      </c>
      <c r="H18" s="28">
        <v>1607.57</v>
      </c>
      <c r="I18" s="28">
        <v>1576.04</v>
      </c>
      <c r="J18" s="112">
        <v>0</v>
      </c>
      <c r="K18" s="28">
        <f t="shared" si="0"/>
        <v>0</v>
      </c>
      <c r="L18" s="28"/>
      <c r="M18" s="28"/>
      <c r="N18" s="28" t="str">
        <f t="shared" si="1"/>
        <v/>
      </c>
      <c r="O18" s="28" t="str">
        <f t="shared" si="2"/>
        <v/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f t="shared" si="3"/>
        <v>0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0</v>
      </c>
      <c r="C19" s="28">
        <v>849.13000000000011</v>
      </c>
      <c r="D19" s="28">
        <v>0</v>
      </c>
      <c r="E19" s="28">
        <v>0</v>
      </c>
      <c r="F19" s="28">
        <v>0</v>
      </c>
      <c r="G19" s="28">
        <f t="shared" si="4"/>
        <v>0</v>
      </c>
      <c r="H19" s="28">
        <v>1608.32</v>
      </c>
      <c r="I19" s="28">
        <v>1576.14</v>
      </c>
      <c r="J19" s="112">
        <v>0</v>
      </c>
      <c r="K19" s="28">
        <f t="shared" si="0"/>
        <v>0</v>
      </c>
      <c r="L19" s="28"/>
      <c r="M19" s="28"/>
      <c r="N19" s="28" t="str">
        <f t="shared" si="1"/>
        <v/>
      </c>
      <c r="O19" s="28" t="str">
        <f t="shared" si="2"/>
        <v/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f t="shared" si="3"/>
        <v>0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0</v>
      </c>
      <c r="C20" s="28">
        <v>830.67</v>
      </c>
      <c r="D20" s="28">
        <v>0</v>
      </c>
      <c r="E20" s="28">
        <v>0</v>
      </c>
      <c r="F20" s="28">
        <v>0</v>
      </c>
      <c r="G20" s="28">
        <f t="shared" si="4"/>
        <v>0</v>
      </c>
      <c r="H20" s="28">
        <v>1635.94</v>
      </c>
      <c r="I20" s="28">
        <v>1605.66</v>
      </c>
      <c r="J20" s="112">
        <v>0</v>
      </c>
      <c r="K20" s="28">
        <f t="shared" si="0"/>
        <v>0</v>
      </c>
      <c r="L20" s="28"/>
      <c r="M20" s="28"/>
      <c r="N20" s="28" t="str">
        <f t="shared" si="1"/>
        <v/>
      </c>
      <c r="O20" s="28" t="str">
        <f t="shared" si="2"/>
        <v/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f t="shared" si="3"/>
        <v>0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0</v>
      </c>
      <c r="C21" s="28">
        <v>822.38</v>
      </c>
      <c r="D21" s="28">
        <v>0</v>
      </c>
      <c r="E21" s="28">
        <v>0</v>
      </c>
      <c r="F21" s="28">
        <v>0</v>
      </c>
      <c r="G21" s="28">
        <f t="shared" si="4"/>
        <v>0</v>
      </c>
      <c r="H21" s="28">
        <v>1658.1</v>
      </c>
      <c r="I21" s="28">
        <v>1621.31</v>
      </c>
      <c r="J21" s="112">
        <v>0</v>
      </c>
      <c r="K21" s="28">
        <f t="shared" si="0"/>
        <v>0</v>
      </c>
      <c r="L21" s="28"/>
      <c r="M21" s="28"/>
      <c r="N21" s="28" t="str">
        <f t="shared" si="1"/>
        <v/>
      </c>
      <c r="O21" s="28" t="str">
        <f t="shared" si="2"/>
        <v/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f t="shared" si="3"/>
        <v>0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0</v>
      </c>
      <c r="C22" s="28">
        <v>806.77</v>
      </c>
      <c r="D22" s="28">
        <v>0</v>
      </c>
      <c r="E22" s="28">
        <v>0</v>
      </c>
      <c r="F22" s="28">
        <v>0</v>
      </c>
      <c r="G22" s="28">
        <f t="shared" si="4"/>
        <v>0</v>
      </c>
      <c r="H22" s="28">
        <v>1673.79</v>
      </c>
      <c r="I22" s="28">
        <v>1633.03</v>
      </c>
      <c r="J22" s="112">
        <v>0</v>
      </c>
      <c r="K22" s="28">
        <f t="shared" si="0"/>
        <v>0</v>
      </c>
      <c r="L22" s="28"/>
      <c r="M22" s="28"/>
      <c r="N22" s="28" t="str">
        <f t="shared" si="1"/>
        <v/>
      </c>
      <c r="O22" s="28" t="str">
        <f t="shared" si="2"/>
        <v/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f t="shared" si="3"/>
        <v>0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0</v>
      </c>
      <c r="C23" s="28">
        <v>805.54</v>
      </c>
      <c r="D23" s="28">
        <v>0</v>
      </c>
      <c r="E23" s="28">
        <v>0</v>
      </c>
      <c r="F23" s="28">
        <v>0</v>
      </c>
      <c r="G23" s="28">
        <f t="shared" si="4"/>
        <v>0</v>
      </c>
      <c r="H23" s="28">
        <v>1675.13</v>
      </c>
      <c r="I23" s="28">
        <v>1627.3</v>
      </c>
      <c r="J23" s="112">
        <v>0</v>
      </c>
      <c r="K23" s="28">
        <f t="shared" si="0"/>
        <v>0</v>
      </c>
      <c r="L23" s="28"/>
      <c r="M23" s="28"/>
      <c r="N23" s="28" t="str">
        <f t="shared" si="1"/>
        <v/>
      </c>
      <c r="O23" s="28" t="str">
        <f t="shared" si="2"/>
        <v/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f t="shared" si="3"/>
        <v>0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0</v>
      </c>
      <c r="C24" s="28">
        <v>814.69</v>
      </c>
      <c r="D24" s="28">
        <v>0</v>
      </c>
      <c r="E24" s="28">
        <v>0</v>
      </c>
      <c r="F24" s="28">
        <v>0</v>
      </c>
      <c r="G24" s="28">
        <f t="shared" si="4"/>
        <v>0</v>
      </c>
      <c r="H24" s="28">
        <v>1671.67</v>
      </c>
      <c r="I24" s="28">
        <v>1621.9</v>
      </c>
      <c r="J24" s="112">
        <v>0</v>
      </c>
      <c r="K24" s="28">
        <f t="shared" si="0"/>
        <v>0</v>
      </c>
      <c r="L24" s="28"/>
      <c r="M24" s="28"/>
      <c r="N24" s="28" t="str">
        <f t="shared" si="1"/>
        <v/>
      </c>
      <c r="O24" s="28" t="str">
        <f t="shared" si="2"/>
        <v/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f t="shared" si="3"/>
        <v>0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0</v>
      </c>
      <c r="C25" s="28">
        <v>819.09</v>
      </c>
      <c r="D25" s="28">
        <v>0</v>
      </c>
      <c r="E25" s="28">
        <v>0</v>
      </c>
      <c r="F25" s="28">
        <v>0</v>
      </c>
      <c r="G25" s="28">
        <f t="shared" si="4"/>
        <v>0</v>
      </c>
      <c r="H25" s="28">
        <v>1677.67</v>
      </c>
      <c r="I25" s="28">
        <v>1624.22</v>
      </c>
      <c r="J25" s="112">
        <v>0</v>
      </c>
      <c r="K25" s="28">
        <f t="shared" si="0"/>
        <v>0</v>
      </c>
      <c r="L25" s="28"/>
      <c r="M25" s="28"/>
      <c r="N25" s="28" t="str">
        <f t="shared" si="1"/>
        <v/>
      </c>
      <c r="O25" s="28" t="str">
        <f t="shared" si="2"/>
        <v/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f t="shared" si="3"/>
        <v>0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0</v>
      </c>
      <c r="C26" s="28">
        <v>819.49</v>
      </c>
      <c r="D26" s="28">
        <v>0</v>
      </c>
      <c r="E26" s="28">
        <v>0</v>
      </c>
      <c r="F26" s="28">
        <v>0</v>
      </c>
      <c r="G26" s="28">
        <f t="shared" si="4"/>
        <v>0</v>
      </c>
      <c r="H26" s="28">
        <v>1694.28</v>
      </c>
      <c r="I26" s="28">
        <v>1636.97</v>
      </c>
      <c r="J26" s="112">
        <v>0</v>
      </c>
      <c r="K26" s="28">
        <f t="shared" si="0"/>
        <v>0</v>
      </c>
      <c r="L26" s="28"/>
      <c r="M26" s="28"/>
      <c r="N26" s="28" t="str">
        <f t="shared" si="1"/>
        <v/>
      </c>
      <c r="O26" s="28" t="str">
        <f t="shared" si="2"/>
        <v/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f t="shared" si="3"/>
        <v>0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0</v>
      </c>
      <c r="C27" s="28">
        <v>824.27</v>
      </c>
      <c r="D27" s="28">
        <v>0</v>
      </c>
      <c r="E27" s="28">
        <v>0</v>
      </c>
      <c r="F27" s="28">
        <v>0</v>
      </c>
      <c r="G27" s="28">
        <f t="shared" si="4"/>
        <v>0</v>
      </c>
      <c r="H27" s="28">
        <v>1696.49</v>
      </c>
      <c r="I27" s="28">
        <v>1639.15</v>
      </c>
      <c r="J27" s="112">
        <v>0</v>
      </c>
      <c r="K27" s="28">
        <f t="shared" si="0"/>
        <v>0</v>
      </c>
      <c r="L27" s="28"/>
      <c r="M27" s="28"/>
      <c r="N27" s="28" t="str">
        <f t="shared" si="1"/>
        <v/>
      </c>
      <c r="O27" s="28" t="str">
        <f t="shared" si="2"/>
        <v/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f t="shared" si="3"/>
        <v>0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0</v>
      </c>
      <c r="C28" s="28">
        <v>1025.24</v>
      </c>
      <c r="D28" s="28">
        <v>0</v>
      </c>
      <c r="E28" s="28">
        <v>0</v>
      </c>
      <c r="F28" s="28">
        <v>0</v>
      </c>
      <c r="G28" s="28">
        <f t="shared" si="4"/>
        <v>0</v>
      </c>
      <c r="H28" s="28">
        <v>1493.9</v>
      </c>
      <c r="I28" s="28">
        <v>1438.16</v>
      </c>
      <c r="J28" s="112">
        <v>0</v>
      </c>
      <c r="K28" s="28">
        <f t="shared" si="0"/>
        <v>0</v>
      </c>
      <c r="L28" s="28"/>
      <c r="M28" s="28"/>
      <c r="N28" s="28" t="str">
        <f t="shared" si="1"/>
        <v/>
      </c>
      <c r="O28" s="28" t="str">
        <f t="shared" si="2"/>
        <v/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f t="shared" si="3"/>
        <v>0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0</v>
      </c>
      <c r="C29" s="28">
        <v>1235.1199999999999</v>
      </c>
      <c r="D29" s="28">
        <v>0</v>
      </c>
      <c r="E29" s="28">
        <v>0</v>
      </c>
      <c r="F29" s="28">
        <v>0</v>
      </c>
      <c r="G29" s="28">
        <f t="shared" si="4"/>
        <v>0</v>
      </c>
      <c r="H29" s="28">
        <v>1020.47</v>
      </c>
      <c r="I29" s="28">
        <v>965.17</v>
      </c>
      <c r="J29" s="112">
        <v>0</v>
      </c>
      <c r="K29" s="28">
        <f t="shared" si="0"/>
        <v>0</v>
      </c>
      <c r="L29" s="28"/>
      <c r="M29" s="28"/>
      <c r="N29" s="28" t="str">
        <f t="shared" si="1"/>
        <v/>
      </c>
      <c r="O29" s="28" t="str">
        <f t="shared" si="2"/>
        <v/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f t="shared" si="3"/>
        <v>0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0</v>
      </c>
      <c r="C30" s="28">
        <v>1236.6500000000001</v>
      </c>
      <c r="D30" s="28">
        <v>0</v>
      </c>
      <c r="E30" s="28">
        <v>0</v>
      </c>
      <c r="F30" s="28">
        <v>0</v>
      </c>
      <c r="G30" s="28">
        <f t="shared" si="4"/>
        <v>0</v>
      </c>
      <c r="H30" s="28">
        <v>1011.4</v>
      </c>
      <c r="I30" s="28">
        <v>954.61</v>
      </c>
      <c r="J30" s="112">
        <v>0</v>
      </c>
      <c r="K30" s="28">
        <f t="shared" si="0"/>
        <v>0</v>
      </c>
      <c r="L30" s="28"/>
      <c r="M30" s="28"/>
      <c r="N30" s="28" t="str">
        <f t="shared" si="1"/>
        <v/>
      </c>
      <c r="O30" s="28" t="str">
        <f t="shared" si="2"/>
        <v/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f t="shared" si="3"/>
        <v>0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0</v>
      </c>
      <c r="C31" s="28">
        <v>1224.97</v>
      </c>
      <c r="D31" s="28">
        <v>0</v>
      </c>
      <c r="E31" s="28">
        <v>0</v>
      </c>
      <c r="F31" s="28">
        <v>0</v>
      </c>
      <c r="G31" s="28">
        <f t="shared" si="4"/>
        <v>0</v>
      </c>
      <c r="H31" s="28">
        <v>1022.75</v>
      </c>
      <c r="I31" s="28">
        <v>969.74</v>
      </c>
      <c r="J31" s="112">
        <v>0</v>
      </c>
      <c r="K31" s="28">
        <f t="shared" si="0"/>
        <v>0</v>
      </c>
      <c r="L31" s="28"/>
      <c r="M31" s="28"/>
      <c r="N31" s="28" t="str">
        <f t="shared" si="1"/>
        <v/>
      </c>
      <c r="O31" s="28" t="str">
        <f t="shared" si="2"/>
        <v/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f t="shared" si="3"/>
        <v>0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0</v>
      </c>
      <c r="C32" s="28">
        <v>1216.3400000000001</v>
      </c>
      <c r="D32" s="28">
        <v>0</v>
      </c>
      <c r="E32" s="28">
        <v>0</v>
      </c>
      <c r="F32" s="28">
        <v>0</v>
      </c>
      <c r="G32" s="28">
        <f t="shared" si="4"/>
        <v>0</v>
      </c>
      <c r="H32" s="28">
        <v>1028.74</v>
      </c>
      <c r="I32" s="28">
        <v>959.03</v>
      </c>
      <c r="J32" s="112">
        <v>0</v>
      </c>
      <c r="K32" s="28">
        <f t="shared" si="0"/>
        <v>0</v>
      </c>
      <c r="L32" s="28"/>
      <c r="M32" s="28"/>
      <c r="N32" s="28" t="str">
        <f t="shared" si="1"/>
        <v/>
      </c>
      <c r="O32" s="28" t="str">
        <f t="shared" si="2"/>
        <v/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f t="shared" si="3"/>
        <v>0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0</v>
      </c>
      <c r="C33" s="28">
        <v>1226.6799999999998</v>
      </c>
      <c r="D33" s="28">
        <v>0</v>
      </c>
      <c r="E33" s="28">
        <v>0</v>
      </c>
      <c r="F33" s="28">
        <v>0</v>
      </c>
      <c r="G33" s="28">
        <f t="shared" si="4"/>
        <v>0</v>
      </c>
      <c r="H33" s="28">
        <v>983.33</v>
      </c>
      <c r="I33" s="28">
        <v>908.48</v>
      </c>
      <c r="J33" s="112">
        <v>0</v>
      </c>
      <c r="K33" s="28">
        <f t="shared" si="0"/>
        <v>0</v>
      </c>
      <c r="L33" s="28"/>
      <c r="M33" s="28"/>
      <c r="N33" s="28" t="str">
        <f t="shared" si="1"/>
        <v/>
      </c>
      <c r="O33" s="28" t="str">
        <f t="shared" si="2"/>
        <v/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f t="shared" si="3"/>
        <v>0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0</v>
      </c>
      <c r="C34" s="28">
        <v>1224.73</v>
      </c>
      <c r="D34" s="28">
        <v>0</v>
      </c>
      <c r="E34" s="28">
        <v>0</v>
      </c>
      <c r="F34" s="28">
        <v>0</v>
      </c>
      <c r="G34" s="28">
        <f t="shared" si="4"/>
        <v>0</v>
      </c>
      <c r="H34" s="28">
        <v>983.21</v>
      </c>
      <c r="I34" s="28">
        <v>909.53</v>
      </c>
      <c r="J34" s="112">
        <v>0</v>
      </c>
      <c r="K34" s="28">
        <f t="shared" si="0"/>
        <v>0</v>
      </c>
      <c r="L34" s="28"/>
      <c r="M34" s="28"/>
      <c r="N34" s="28" t="str">
        <f t="shared" si="1"/>
        <v/>
      </c>
      <c r="O34" s="28" t="str">
        <f t="shared" si="2"/>
        <v/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f t="shared" si="3"/>
        <v>0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0</v>
      </c>
      <c r="C35" s="28">
        <v>1242.3400000000001</v>
      </c>
      <c r="D35" s="28">
        <v>0</v>
      </c>
      <c r="E35" s="28">
        <v>0</v>
      </c>
      <c r="F35" s="28">
        <v>0</v>
      </c>
      <c r="G35" s="28">
        <f t="shared" si="4"/>
        <v>0</v>
      </c>
      <c r="H35" s="28">
        <v>967.88</v>
      </c>
      <c r="I35" s="28">
        <v>894.26</v>
      </c>
      <c r="J35" s="112">
        <v>0</v>
      </c>
      <c r="K35" s="116">
        <f t="shared" si="0"/>
        <v>0</v>
      </c>
      <c r="L35" s="28"/>
      <c r="M35" s="28"/>
      <c r="N35" s="28" t="str">
        <f t="shared" si="1"/>
        <v/>
      </c>
      <c r="O35" s="28" t="str">
        <f t="shared" si="2"/>
        <v/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f t="shared" si="3"/>
        <v>0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0</v>
      </c>
      <c r="C36" s="35">
        <f t="shared" ref="C36:J36" si="5">SUM(C12:C35)</f>
        <v>23082.520000000004</v>
      </c>
      <c r="D36" s="35">
        <f t="shared" si="5"/>
        <v>0</v>
      </c>
      <c r="E36" s="35">
        <f t="shared" si="5"/>
        <v>0</v>
      </c>
      <c r="F36" s="35">
        <f t="shared" si="5"/>
        <v>0</v>
      </c>
      <c r="G36" s="35">
        <f t="shared" si="5"/>
        <v>0</v>
      </c>
      <c r="H36" s="35">
        <f t="shared" si="5"/>
        <v>34769.97</v>
      </c>
      <c r="I36" s="35">
        <f t="shared" si="5"/>
        <v>33474.590000000004</v>
      </c>
      <c r="J36" s="35">
        <f t="shared" si="5"/>
        <v>0</v>
      </c>
      <c r="K36" s="36"/>
      <c r="L36" s="37"/>
      <c r="M36" s="38"/>
      <c r="N36" s="35" t="str">
        <f>IFERROR(AVERAGE(N12:N35),"")</f>
        <v/>
      </c>
      <c r="O36" s="39">
        <f t="shared" ref="O36:U36" si="6">SUM(O12:O35)</f>
        <v>0</v>
      </c>
      <c r="P36" s="39">
        <f t="shared" si="6"/>
        <v>0</v>
      </c>
      <c r="Q36" s="39">
        <f t="shared" si="6"/>
        <v>0</v>
      </c>
      <c r="R36" s="39">
        <f t="shared" si="6"/>
        <v>0</v>
      </c>
      <c r="S36" s="39">
        <f t="shared" si="6"/>
        <v>0</v>
      </c>
      <c r="T36" s="39">
        <f t="shared" si="6"/>
        <v>0</v>
      </c>
      <c r="U36" s="39">
        <f t="shared" si="6"/>
        <v>0</v>
      </c>
      <c r="V36" s="39">
        <f>SUM(V12:V35)</f>
        <v>0</v>
      </c>
      <c r="W36" s="40">
        <f>SUM(W12:W35)</f>
        <v>0</v>
      </c>
      <c r="X36" s="40"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X36</f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68244.56</v>
      </c>
      <c r="J41" s="41"/>
      <c r="K41" s="13" t="s">
        <v>59</v>
      </c>
      <c r="L41" s="113">
        <v>68440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0</v>
      </c>
      <c r="B42" s="57">
        <v>0</v>
      </c>
      <c r="C42" s="57">
        <v>1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20754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 t="str">
        <f>IFERROR(3412.14/N36,"")</f>
        <v/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20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José Leal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2331.0300000000002</v>
      </c>
      <c r="D58" s="81">
        <v>0</v>
      </c>
      <c r="E58" s="82">
        <v>0</v>
      </c>
      <c r="F58" s="83">
        <v>4931.22</v>
      </c>
      <c r="G58" s="82">
        <v>0</v>
      </c>
      <c r="H58" s="84">
        <f t="shared" ref="H58:H81" si="7">IF(G58=0,0,100*(E58-G58)/G58)</f>
        <v>0</v>
      </c>
      <c r="I58" s="85"/>
      <c r="J58" s="85"/>
      <c r="K58" s="86" t="str">
        <f t="shared" ref="K58:K81" si="8">IFERROR(U58*1000*2.2*$K$92/E58/1000,"")</f>
        <v/>
      </c>
      <c r="L58" s="87"/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2330.77</v>
      </c>
      <c r="D59" s="81">
        <v>0</v>
      </c>
      <c r="E59" s="82">
        <v>0</v>
      </c>
      <c r="F59" s="82">
        <v>4943.66</v>
      </c>
      <c r="G59" s="82">
        <v>0</v>
      </c>
      <c r="H59" s="91">
        <f t="shared" si="7"/>
        <v>0</v>
      </c>
      <c r="I59" s="85"/>
      <c r="J59" s="85"/>
      <c r="K59" s="86" t="str">
        <f t="shared" si="8"/>
        <v/>
      </c>
      <c r="L59" s="87" t="str">
        <f t="shared" ref="L59:L81" si="9">IF(OR(H59&gt;5,H59&lt;-5),E59-G59,"")</f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10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2329.89</v>
      </c>
      <c r="D60" s="81">
        <v>0</v>
      </c>
      <c r="E60" s="82">
        <v>0</v>
      </c>
      <c r="F60" s="82">
        <v>4914.2299999999996</v>
      </c>
      <c r="G60" s="82">
        <v>0</v>
      </c>
      <c r="H60" s="91">
        <f t="shared" si="7"/>
        <v>0</v>
      </c>
      <c r="I60" s="85"/>
      <c r="J60" s="85"/>
      <c r="K60" s="86" t="str">
        <f t="shared" si="8"/>
        <v/>
      </c>
      <c r="L60" s="87" t="str">
        <f t="shared" si="9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10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2335.52</v>
      </c>
      <c r="D61" s="81">
        <v>0</v>
      </c>
      <c r="E61" s="82">
        <v>0</v>
      </c>
      <c r="F61" s="82">
        <v>4922.08</v>
      </c>
      <c r="G61" s="82">
        <v>0</v>
      </c>
      <c r="H61" s="91">
        <f t="shared" si="7"/>
        <v>0</v>
      </c>
      <c r="I61" s="85"/>
      <c r="J61" s="85"/>
      <c r="K61" s="86" t="str">
        <f t="shared" si="8"/>
        <v/>
      </c>
      <c r="L61" s="87" t="str">
        <f t="shared" si="9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10"/>
        <v>0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2320.7600000000002</v>
      </c>
      <c r="D62" s="81">
        <v>0</v>
      </c>
      <c r="E62" s="82">
        <v>0</v>
      </c>
      <c r="F62" s="82">
        <v>4925.78</v>
      </c>
      <c r="G62" s="82">
        <v>0</v>
      </c>
      <c r="H62" s="91">
        <f t="shared" si="7"/>
        <v>0</v>
      </c>
      <c r="I62" s="85"/>
      <c r="J62" s="85"/>
      <c r="K62" s="86" t="str">
        <f t="shared" si="8"/>
        <v/>
      </c>
      <c r="L62" s="87" t="str">
        <f t="shared" si="9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10"/>
        <v>0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2320.83</v>
      </c>
      <c r="D63" s="81">
        <v>0</v>
      </c>
      <c r="E63" s="82">
        <v>0</v>
      </c>
      <c r="F63" s="82">
        <v>4954.17</v>
      </c>
      <c r="G63" s="82">
        <v>0</v>
      </c>
      <c r="H63" s="91">
        <f t="shared" si="7"/>
        <v>0</v>
      </c>
      <c r="I63" s="85"/>
      <c r="J63" s="85"/>
      <c r="K63" s="86" t="str">
        <f t="shared" si="8"/>
        <v/>
      </c>
      <c r="L63" s="87" t="str">
        <f t="shared" si="9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10"/>
        <v>0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2335.77</v>
      </c>
      <c r="D64" s="81">
        <v>0</v>
      </c>
      <c r="E64" s="82">
        <v>0</v>
      </c>
      <c r="F64" s="82">
        <v>4902.1400000000003</v>
      </c>
      <c r="G64" s="82">
        <v>0</v>
      </c>
      <c r="H64" s="91">
        <f t="shared" si="7"/>
        <v>0</v>
      </c>
      <c r="I64" s="85"/>
      <c r="J64" s="85"/>
      <c r="K64" s="86" t="str">
        <f t="shared" si="8"/>
        <v/>
      </c>
      <c r="L64" s="87" t="str">
        <f t="shared" si="9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10"/>
        <v>0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2336.4699999999998</v>
      </c>
      <c r="D65" s="81">
        <v>0</v>
      </c>
      <c r="E65" s="82">
        <v>0</v>
      </c>
      <c r="F65" s="82">
        <v>4921.29</v>
      </c>
      <c r="G65" s="82">
        <v>0</v>
      </c>
      <c r="H65" s="91">
        <f t="shared" si="7"/>
        <v>0</v>
      </c>
      <c r="I65" s="85"/>
      <c r="J65" s="85"/>
      <c r="K65" s="86" t="str">
        <f t="shared" si="8"/>
        <v/>
      </c>
      <c r="L65" s="87" t="str">
        <f t="shared" si="9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10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2341.9499999999998</v>
      </c>
      <c r="D66" s="81">
        <v>0</v>
      </c>
      <c r="E66" s="82">
        <v>0</v>
      </c>
      <c r="F66" s="82">
        <v>4914.6899999999996</v>
      </c>
      <c r="G66" s="82">
        <v>0</v>
      </c>
      <c r="H66" s="91">
        <f t="shared" si="7"/>
        <v>0</v>
      </c>
      <c r="I66" s="85"/>
      <c r="J66" s="85"/>
      <c r="K66" s="86" t="str">
        <f t="shared" si="8"/>
        <v/>
      </c>
      <c r="L66" s="87" t="str">
        <f t="shared" si="9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10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2273.08</v>
      </c>
      <c r="D67" s="81">
        <v>0</v>
      </c>
      <c r="E67" s="82">
        <v>0</v>
      </c>
      <c r="F67" s="82">
        <v>4993.57</v>
      </c>
      <c r="G67" s="82">
        <v>0</v>
      </c>
      <c r="H67" s="91">
        <f t="shared" si="7"/>
        <v>0</v>
      </c>
      <c r="I67" s="85"/>
      <c r="J67" s="85"/>
      <c r="K67" s="86" t="str">
        <f t="shared" si="8"/>
        <v/>
      </c>
      <c r="L67" s="87" t="str">
        <f t="shared" si="9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10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2217.2600000000002</v>
      </c>
      <c r="D68" s="81">
        <v>0</v>
      </c>
      <c r="E68" s="82">
        <v>0</v>
      </c>
      <c r="F68" s="82">
        <v>5001.5200000000004</v>
      </c>
      <c r="G68" s="82">
        <v>0</v>
      </c>
      <c r="H68" s="91">
        <f t="shared" si="7"/>
        <v>0</v>
      </c>
      <c r="I68" s="85"/>
      <c r="K68" s="86" t="str">
        <f t="shared" si="8"/>
        <v/>
      </c>
      <c r="L68" s="87" t="str">
        <f t="shared" si="9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10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2228.73</v>
      </c>
      <c r="D69" s="81">
        <v>0</v>
      </c>
      <c r="E69" s="82">
        <v>0</v>
      </c>
      <c r="F69" s="82">
        <v>4983.16</v>
      </c>
      <c r="G69" s="82">
        <v>0</v>
      </c>
      <c r="H69" s="91">
        <f t="shared" si="7"/>
        <v>0</v>
      </c>
      <c r="I69" s="85"/>
      <c r="J69" s="85"/>
      <c r="K69" s="86" t="str">
        <f t="shared" si="8"/>
        <v/>
      </c>
      <c r="L69" s="87" t="str">
        <f t="shared" si="9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10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2201.5300000000002</v>
      </c>
      <c r="D70" s="81">
        <v>0</v>
      </c>
      <c r="E70" s="82">
        <v>0</v>
      </c>
      <c r="F70" s="82">
        <v>4989.96</v>
      </c>
      <c r="G70" s="82">
        <v>0</v>
      </c>
      <c r="H70" s="91">
        <f t="shared" si="7"/>
        <v>0</v>
      </c>
      <c r="I70" s="85"/>
      <c r="J70" s="85"/>
      <c r="K70" s="86" t="str">
        <f t="shared" si="8"/>
        <v/>
      </c>
      <c r="L70" s="87" t="str">
        <f t="shared" si="9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10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2200.12</v>
      </c>
      <c r="D71" s="81">
        <v>0</v>
      </c>
      <c r="E71" s="82">
        <v>0</v>
      </c>
      <c r="F71" s="82">
        <v>5005.5</v>
      </c>
      <c r="G71" s="82">
        <v>0</v>
      </c>
      <c r="H71" s="91">
        <f t="shared" si="7"/>
        <v>0</v>
      </c>
      <c r="I71" s="85"/>
      <c r="J71" s="85"/>
      <c r="K71" s="86" t="str">
        <f t="shared" si="8"/>
        <v/>
      </c>
      <c r="L71" s="87" t="str">
        <f t="shared" si="9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10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2103.12</v>
      </c>
      <c r="D72" s="81">
        <v>0</v>
      </c>
      <c r="E72" s="82">
        <v>0</v>
      </c>
      <c r="F72" s="82">
        <v>5362.41</v>
      </c>
      <c r="G72" s="82">
        <v>0</v>
      </c>
      <c r="H72" s="91">
        <f t="shared" si="7"/>
        <v>0</v>
      </c>
      <c r="I72" s="85"/>
      <c r="J72" s="85"/>
      <c r="K72" s="86" t="str">
        <f t="shared" si="8"/>
        <v/>
      </c>
      <c r="L72" s="87" t="str">
        <f t="shared" si="9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10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2172.33</v>
      </c>
      <c r="D73" s="81">
        <v>0</v>
      </c>
      <c r="E73" s="82">
        <v>0</v>
      </c>
      <c r="F73" s="82">
        <v>5238.1899999999996</v>
      </c>
      <c r="G73" s="82">
        <v>0</v>
      </c>
      <c r="H73" s="91">
        <f t="shared" si="7"/>
        <v>0</v>
      </c>
      <c r="I73" s="85"/>
      <c r="J73" s="85"/>
      <c r="K73" s="86" t="str">
        <f t="shared" si="8"/>
        <v/>
      </c>
      <c r="L73" s="87" t="str">
        <f t="shared" si="9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10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2129.88</v>
      </c>
      <c r="D74" s="81">
        <v>0</v>
      </c>
      <c r="E74" s="82">
        <v>0</v>
      </c>
      <c r="F74" s="82">
        <v>5231.16</v>
      </c>
      <c r="G74" s="82">
        <v>0</v>
      </c>
      <c r="H74" s="91">
        <f t="shared" si="7"/>
        <v>0</v>
      </c>
      <c r="I74" s="85"/>
      <c r="J74" s="85"/>
      <c r="K74" s="86" t="str">
        <f t="shared" si="8"/>
        <v/>
      </c>
      <c r="L74" s="87" t="str">
        <f t="shared" si="9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10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2138.5300000000002</v>
      </c>
      <c r="D75" s="81">
        <v>0</v>
      </c>
      <c r="E75" s="82">
        <v>0</v>
      </c>
      <c r="F75" s="82">
        <v>5214.32</v>
      </c>
      <c r="G75" s="82">
        <v>0</v>
      </c>
      <c r="H75" s="91">
        <f t="shared" si="7"/>
        <v>0</v>
      </c>
      <c r="I75" s="85"/>
      <c r="J75" s="85"/>
      <c r="K75" s="86" t="str">
        <f t="shared" si="8"/>
        <v/>
      </c>
      <c r="L75" s="87" t="str">
        <f t="shared" si="9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10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2155</v>
      </c>
      <c r="D76" s="81">
        <v>0</v>
      </c>
      <c r="E76" s="82">
        <v>0</v>
      </c>
      <c r="F76" s="82">
        <v>5217.13</v>
      </c>
      <c r="G76" s="82">
        <v>0</v>
      </c>
      <c r="H76" s="91">
        <f t="shared" si="7"/>
        <v>0</v>
      </c>
      <c r="I76" s="85"/>
      <c r="J76" s="85"/>
      <c r="K76" s="86" t="str">
        <f t="shared" si="8"/>
        <v/>
      </c>
      <c r="L76" s="87" t="str">
        <f t="shared" si="9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10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2172.91</v>
      </c>
      <c r="D77" s="81">
        <v>0</v>
      </c>
      <c r="E77" s="82">
        <v>0</v>
      </c>
      <c r="F77" s="82">
        <v>5182.8</v>
      </c>
      <c r="G77" s="82">
        <v>0</v>
      </c>
      <c r="H77" s="91">
        <f t="shared" si="7"/>
        <v>0</v>
      </c>
      <c r="I77" s="85"/>
      <c r="J77" s="85"/>
      <c r="K77" s="86" t="str">
        <f t="shared" si="8"/>
        <v/>
      </c>
      <c r="L77" s="87" t="str">
        <f t="shared" si="9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10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2356.16</v>
      </c>
      <c r="D78" s="81">
        <v>0</v>
      </c>
      <c r="E78" s="82">
        <v>0</v>
      </c>
      <c r="F78" s="82">
        <v>4777.4399999999996</v>
      </c>
      <c r="G78" s="82">
        <v>0</v>
      </c>
      <c r="H78" s="91">
        <f t="shared" si="7"/>
        <v>0</v>
      </c>
      <c r="I78" s="85"/>
      <c r="J78" s="85"/>
      <c r="K78" s="86" t="str">
        <f t="shared" si="8"/>
        <v/>
      </c>
      <c r="L78" s="87" t="str">
        <f t="shared" si="9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0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2347.91</v>
      </c>
      <c r="D79" s="81">
        <v>0</v>
      </c>
      <c r="E79" s="82">
        <v>0</v>
      </c>
      <c r="F79" s="82">
        <v>4714.88</v>
      </c>
      <c r="G79" s="82">
        <v>0</v>
      </c>
      <c r="H79" s="91">
        <f t="shared" si="7"/>
        <v>0</v>
      </c>
      <c r="I79" s="85"/>
      <c r="J79" s="85"/>
      <c r="K79" s="86" t="str">
        <f t="shared" si="8"/>
        <v/>
      </c>
      <c r="L79" s="87" t="str">
        <f t="shared" si="9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0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2368.89</v>
      </c>
      <c r="D80" s="81">
        <v>0</v>
      </c>
      <c r="E80" s="82">
        <v>0</v>
      </c>
      <c r="F80" s="82">
        <v>4709.04</v>
      </c>
      <c r="G80" s="82">
        <v>0</v>
      </c>
      <c r="H80" s="91">
        <f t="shared" si="7"/>
        <v>0</v>
      </c>
      <c r="I80" s="85"/>
      <c r="J80" s="85"/>
      <c r="K80" s="86" t="str">
        <f t="shared" si="8"/>
        <v/>
      </c>
      <c r="L80" s="87" t="str">
        <f t="shared" si="9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0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2365.0700000000002</v>
      </c>
      <c r="D81" s="28">
        <v>0</v>
      </c>
      <c r="E81" s="96">
        <v>0</v>
      </c>
      <c r="F81" s="97">
        <v>4692.59</v>
      </c>
      <c r="G81" s="82">
        <v>0</v>
      </c>
      <c r="H81" s="98">
        <f t="shared" si="7"/>
        <v>0</v>
      </c>
      <c r="I81" s="115"/>
      <c r="J81" s="85"/>
      <c r="K81" s="99" t="str">
        <f t="shared" si="8"/>
        <v/>
      </c>
      <c r="L81" s="87" t="str">
        <f t="shared" si="9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0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1">SUM(B58:B81)</f>
        <v>0</v>
      </c>
      <c r="C82" s="35">
        <f t="shared" si="11"/>
        <v>54413.51</v>
      </c>
      <c r="D82" s="35">
        <f t="shared" si="11"/>
        <v>0</v>
      </c>
      <c r="E82" s="35">
        <f t="shared" si="11"/>
        <v>0</v>
      </c>
      <c r="F82" s="101">
        <f t="shared" si="11"/>
        <v>119642.93000000002</v>
      </c>
      <c r="G82" s="35">
        <f t="shared" si="11"/>
        <v>0</v>
      </c>
      <c r="H82" s="102"/>
      <c r="I82" s="103"/>
      <c r="J82" s="104"/>
      <c r="K82" s="105" t="str">
        <f>IFERROR(AVERAGE(K58:K81),"")</f>
        <v/>
      </c>
      <c r="L82" s="40">
        <f t="shared" ref="L82:U82" si="12">SUM(L58:L81)</f>
        <v>0</v>
      </c>
      <c r="M82" s="40">
        <f t="shared" si="12"/>
        <v>0</v>
      </c>
      <c r="N82" s="39">
        <f t="shared" si="12"/>
        <v>0</v>
      </c>
      <c r="O82" s="39">
        <f t="shared" si="12"/>
        <v>0</v>
      </c>
      <c r="P82" s="39">
        <f t="shared" si="12"/>
        <v>0</v>
      </c>
      <c r="Q82" s="39">
        <f t="shared" si="12"/>
        <v>0</v>
      </c>
      <c r="R82" s="39">
        <f t="shared" si="12"/>
        <v>0</v>
      </c>
      <c r="S82" s="39">
        <f t="shared" si="12"/>
        <v>0</v>
      </c>
      <c r="T82" s="39">
        <f t="shared" si="12"/>
        <v>0</v>
      </c>
      <c r="U82" s="39">
        <f t="shared" si="12"/>
        <v>0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119642.93000000002</v>
      </c>
      <c r="J87" s="41"/>
      <c r="K87" s="62" t="s">
        <v>59</v>
      </c>
      <c r="L87" s="113">
        <v>5897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</v>
      </c>
      <c r="B88" s="57">
        <v>0</v>
      </c>
      <c r="C88" s="57">
        <v>1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2302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 t="str">
        <f>IFERROR(3412.14/K82,"")</f>
        <v/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K90:L90"/>
    <mergeCell ref="B91:B92"/>
    <mergeCell ref="C91:I92"/>
    <mergeCell ref="K91:L91"/>
    <mergeCell ref="K92:L92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A85:A86"/>
    <mergeCell ref="B85:B86"/>
    <mergeCell ref="C85:C86"/>
    <mergeCell ref="D85:D86"/>
    <mergeCell ref="H85:I8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H41:H42"/>
    <mergeCell ref="I41:I42"/>
    <mergeCell ref="K44:L44"/>
    <mergeCell ref="C45:I46"/>
    <mergeCell ref="K45:L45"/>
    <mergeCell ref="K46:L46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A39:A40"/>
    <mergeCell ref="B39:B40"/>
    <mergeCell ref="C39:C40"/>
    <mergeCell ref="D39:D40"/>
    <mergeCell ref="H39:I40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1:C1"/>
    <mergeCell ref="D1:U2"/>
    <mergeCell ref="V1:X4"/>
    <mergeCell ref="A2:C2"/>
    <mergeCell ref="A3:C3"/>
    <mergeCell ref="D3:U4"/>
    <mergeCell ref="A4:C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907D6-FBA8-4487-8C75-25C67F2258DD}">
  <dimension ref="A1:Z109"/>
  <sheetViews>
    <sheetView topLeftCell="F48" zoomScale="85" zoomScaleNormal="85" workbookViewId="0">
      <selection activeCell="U59" sqref="U59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21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82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0</v>
      </c>
      <c r="C12" s="28">
        <v>1238.17</v>
      </c>
      <c r="D12" s="28">
        <v>0</v>
      </c>
      <c r="E12" s="28">
        <v>966.87271199999998</v>
      </c>
      <c r="F12" s="28">
        <v>894.98649599999999</v>
      </c>
      <c r="G12" s="28">
        <v>0</v>
      </c>
      <c r="H12" s="28">
        <v>1614.47</v>
      </c>
      <c r="I12" s="28">
        <v>1552.1</v>
      </c>
      <c r="J12" s="112">
        <v>0</v>
      </c>
      <c r="K12" s="28">
        <f t="shared" ref="K12:K35" si="0">IF(J12=0,0,100*(G12-J12)/J12)</f>
        <v>0</v>
      </c>
      <c r="L12" s="28"/>
      <c r="M12" s="28"/>
      <c r="N12" s="28" t="str">
        <f t="shared" ref="N12:N35" si="1">IFERROR(V12*1000*2.2*$K$46/G12/1000,"")</f>
        <v/>
      </c>
      <c r="O12" s="28" t="str">
        <f t="shared" ref="O12:O35" si="2">IF(OR(K12&gt;5,K12&lt;-5),G12-J12,"")</f>
        <v/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f t="shared" ref="V12:V35" si="3">+SUM(P12:U12)</f>
        <v>0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0</v>
      </c>
      <c r="C13" s="28">
        <v>1247.54</v>
      </c>
      <c r="D13" s="28">
        <v>0</v>
      </c>
      <c r="E13" s="28">
        <v>954.25323600000002</v>
      </c>
      <c r="F13" s="28">
        <v>884.48927400000002</v>
      </c>
      <c r="G13" s="28">
        <v>0</v>
      </c>
      <c r="H13" s="28">
        <v>1608.19</v>
      </c>
      <c r="I13" s="28">
        <v>1546.49</v>
      </c>
      <c r="J13" s="112">
        <v>0</v>
      </c>
      <c r="K13" s="28">
        <f t="shared" si="0"/>
        <v>0</v>
      </c>
      <c r="L13" s="28"/>
      <c r="M13" s="28"/>
      <c r="N13" s="28" t="str">
        <f t="shared" si="1"/>
        <v/>
      </c>
      <c r="O13" s="28" t="str">
        <f t="shared" si="2"/>
        <v/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f t="shared" si="3"/>
        <v>0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0</v>
      </c>
      <c r="C14" s="28">
        <v>1253.6799999999998</v>
      </c>
      <c r="D14" s="28">
        <v>0</v>
      </c>
      <c r="E14" s="28">
        <v>951.86411999999996</v>
      </c>
      <c r="F14" s="28">
        <v>885.44767699999989</v>
      </c>
      <c r="G14" s="28">
        <v>0</v>
      </c>
      <c r="H14" s="28">
        <v>1603.25</v>
      </c>
      <c r="I14" s="28">
        <v>1543.13</v>
      </c>
      <c r="J14" s="112">
        <v>0</v>
      </c>
      <c r="K14" s="28">
        <f t="shared" si="0"/>
        <v>0</v>
      </c>
      <c r="L14" s="28"/>
      <c r="M14" s="28"/>
      <c r="N14" s="28" t="str">
        <f t="shared" si="1"/>
        <v/>
      </c>
      <c r="O14" s="28" t="str">
        <f t="shared" si="2"/>
        <v/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f t="shared" si="3"/>
        <v>0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0</v>
      </c>
      <c r="C15" s="28">
        <v>1232.1300000000001</v>
      </c>
      <c r="D15" s="28">
        <v>0</v>
      </c>
      <c r="E15" s="28">
        <v>966.56547500000011</v>
      </c>
      <c r="F15" s="28">
        <v>902.65789800000005</v>
      </c>
      <c r="G15" s="28">
        <v>0</v>
      </c>
      <c r="H15" s="28">
        <v>1608.5</v>
      </c>
      <c r="I15" s="28">
        <v>1549.01</v>
      </c>
      <c r="J15" s="112">
        <v>0</v>
      </c>
      <c r="K15" s="28">
        <f t="shared" si="0"/>
        <v>0</v>
      </c>
      <c r="L15" s="28"/>
      <c r="M15" s="28"/>
      <c r="N15" s="28" t="str">
        <f t="shared" si="1"/>
        <v/>
      </c>
      <c r="O15" s="28" t="str">
        <f t="shared" si="2"/>
        <v/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f t="shared" si="3"/>
        <v>0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0</v>
      </c>
      <c r="C16" s="28">
        <v>1250.01</v>
      </c>
      <c r="D16" s="28">
        <v>0</v>
      </c>
      <c r="E16" s="28">
        <v>952.43402199999991</v>
      </c>
      <c r="F16" s="28">
        <v>887.69782999999995</v>
      </c>
      <c r="G16" s="28">
        <v>0</v>
      </c>
      <c r="H16" s="28">
        <v>1619.63</v>
      </c>
      <c r="I16" s="28">
        <v>1560.19</v>
      </c>
      <c r="J16" s="112">
        <v>0</v>
      </c>
      <c r="K16" s="28">
        <f t="shared" si="0"/>
        <v>0</v>
      </c>
      <c r="L16" s="28"/>
      <c r="M16" s="28"/>
      <c r="N16" s="28" t="str">
        <f t="shared" si="1"/>
        <v/>
      </c>
      <c r="O16" s="28" t="str">
        <f t="shared" si="2"/>
        <v/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f t="shared" si="3"/>
        <v>0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0</v>
      </c>
      <c r="C17" s="28">
        <v>1243.42</v>
      </c>
      <c r="D17" s="28">
        <v>0</v>
      </c>
      <c r="E17" s="28">
        <v>961.39439399999992</v>
      </c>
      <c r="F17" s="28">
        <v>896.65101600000003</v>
      </c>
      <c r="G17" s="28">
        <v>0</v>
      </c>
      <c r="H17" s="28">
        <v>1605.29</v>
      </c>
      <c r="I17" s="28">
        <v>1562.97</v>
      </c>
      <c r="J17" s="112">
        <v>0</v>
      </c>
      <c r="K17" s="28">
        <f t="shared" si="0"/>
        <v>0</v>
      </c>
      <c r="L17" s="28"/>
      <c r="M17" s="28"/>
      <c r="N17" s="28" t="str">
        <f t="shared" si="1"/>
        <v/>
      </c>
      <c r="O17" s="28" t="str">
        <f t="shared" si="2"/>
        <v/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f t="shared" si="3"/>
        <v>0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0</v>
      </c>
      <c r="C18" s="28">
        <v>1234.51</v>
      </c>
      <c r="D18" s="28">
        <v>0</v>
      </c>
      <c r="E18" s="28">
        <v>966.10223399999995</v>
      </c>
      <c r="F18" s="28">
        <v>906.96225000000004</v>
      </c>
      <c r="G18" s="28">
        <v>0</v>
      </c>
      <c r="H18" s="28">
        <v>1607.57</v>
      </c>
      <c r="I18" s="28">
        <v>1576.04</v>
      </c>
      <c r="J18" s="112">
        <v>0</v>
      </c>
      <c r="K18" s="28">
        <f t="shared" si="0"/>
        <v>0</v>
      </c>
      <c r="L18" s="28"/>
      <c r="M18" s="28"/>
      <c r="N18" s="28" t="str">
        <f t="shared" si="1"/>
        <v/>
      </c>
      <c r="O18" s="28" t="str">
        <f t="shared" si="2"/>
        <v/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f t="shared" si="3"/>
        <v>0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0</v>
      </c>
      <c r="C19" s="28">
        <v>1250.74</v>
      </c>
      <c r="D19" s="28">
        <v>0</v>
      </c>
      <c r="E19" s="28">
        <v>970.00886600000001</v>
      </c>
      <c r="F19" s="28">
        <v>915.94207800000004</v>
      </c>
      <c r="G19" s="28">
        <v>0</v>
      </c>
      <c r="H19" s="28">
        <v>1608.32</v>
      </c>
      <c r="I19" s="28">
        <v>1576.14</v>
      </c>
      <c r="J19" s="112">
        <v>0</v>
      </c>
      <c r="K19" s="28">
        <f t="shared" si="0"/>
        <v>0</v>
      </c>
      <c r="L19" s="28"/>
      <c r="M19" s="28"/>
      <c r="N19" s="28" t="str">
        <f t="shared" si="1"/>
        <v/>
      </c>
      <c r="O19" s="28" t="str">
        <f t="shared" si="2"/>
        <v/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f t="shared" si="3"/>
        <v>0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0</v>
      </c>
      <c r="C20" s="28">
        <v>1222.79</v>
      </c>
      <c r="D20" s="28">
        <v>0</v>
      </c>
      <c r="E20" s="28">
        <v>1048.3945630000001</v>
      </c>
      <c r="F20" s="28">
        <v>1000.56955</v>
      </c>
      <c r="G20" s="28">
        <v>0</v>
      </c>
      <c r="H20" s="28">
        <v>1635.94</v>
      </c>
      <c r="I20" s="28">
        <v>1605.66</v>
      </c>
      <c r="J20" s="112">
        <v>0</v>
      </c>
      <c r="K20" s="28">
        <f t="shared" si="0"/>
        <v>0</v>
      </c>
      <c r="L20" s="28"/>
      <c r="M20" s="28"/>
      <c r="N20" s="28" t="str">
        <f t="shared" si="1"/>
        <v/>
      </c>
      <c r="O20" s="28" t="str">
        <f t="shared" si="2"/>
        <v/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f t="shared" si="3"/>
        <v>0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0</v>
      </c>
      <c r="C21" s="28">
        <v>1211.81</v>
      </c>
      <c r="D21" s="28">
        <v>0</v>
      </c>
      <c r="E21" s="28">
        <v>1042.369782</v>
      </c>
      <c r="F21" s="28">
        <v>995.24767999999995</v>
      </c>
      <c r="G21" s="28">
        <v>0</v>
      </c>
      <c r="H21" s="28">
        <v>1658.1</v>
      </c>
      <c r="I21" s="28">
        <v>1621.31</v>
      </c>
      <c r="J21" s="112">
        <v>0</v>
      </c>
      <c r="K21" s="28">
        <f t="shared" si="0"/>
        <v>0</v>
      </c>
      <c r="L21" s="28"/>
      <c r="M21" s="28"/>
      <c r="N21" s="28" t="str">
        <f t="shared" si="1"/>
        <v/>
      </c>
      <c r="O21" s="28" t="str">
        <f t="shared" si="2"/>
        <v/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f t="shared" si="3"/>
        <v>0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0</v>
      </c>
      <c r="C22" s="28">
        <v>1212.5999999999999</v>
      </c>
      <c r="D22" s="28">
        <v>0.02</v>
      </c>
      <c r="E22" s="28">
        <v>1024.129242</v>
      </c>
      <c r="F22" s="28">
        <v>969.09115499999996</v>
      </c>
      <c r="G22" s="28">
        <v>0</v>
      </c>
      <c r="H22" s="28">
        <v>1673.79</v>
      </c>
      <c r="I22" s="28">
        <v>1633.03</v>
      </c>
      <c r="J22" s="112">
        <v>0</v>
      </c>
      <c r="K22" s="28">
        <f t="shared" si="0"/>
        <v>0</v>
      </c>
      <c r="L22" s="28"/>
      <c r="M22" s="28"/>
      <c r="N22" s="28" t="str">
        <f t="shared" si="1"/>
        <v/>
      </c>
      <c r="O22" s="28" t="str">
        <f t="shared" si="2"/>
        <v/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f t="shared" si="3"/>
        <v>0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0</v>
      </c>
      <c r="C23" s="28">
        <v>1511.74</v>
      </c>
      <c r="D23" s="28">
        <v>0</v>
      </c>
      <c r="E23" s="28">
        <v>970.04276900000002</v>
      </c>
      <c r="F23" s="28">
        <v>921.88798599999996</v>
      </c>
      <c r="G23" s="28">
        <v>0</v>
      </c>
      <c r="H23" s="28">
        <v>1675.13</v>
      </c>
      <c r="I23" s="28">
        <v>1627.3</v>
      </c>
      <c r="J23" s="112">
        <v>0</v>
      </c>
      <c r="K23" s="28">
        <f t="shared" si="0"/>
        <v>0</v>
      </c>
      <c r="L23" s="28"/>
      <c r="M23" s="28"/>
      <c r="N23" s="28" t="str">
        <f t="shared" si="1"/>
        <v/>
      </c>
      <c r="O23" s="28" t="str">
        <f t="shared" si="2"/>
        <v/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f t="shared" si="3"/>
        <v>0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0</v>
      </c>
      <c r="C24" s="28">
        <v>1537.29</v>
      </c>
      <c r="D24" s="28">
        <v>0</v>
      </c>
      <c r="E24" s="28">
        <v>965.04530299999999</v>
      </c>
      <c r="F24" s="28">
        <v>907.47332699999993</v>
      </c>
      <c r="G24" s="28">
        <v>0</v>
      </c>
      <c r="H24" s="28">
        <v>1671.67</v>
      </c>
      <c r="I24" s="28">
        <v>1621.9</v>
      </c>
      <c r="J24" s="112">
        <v>0</v>
      </c>
      <c r="K24" s="28">
        <f t="shared" si="0"/>
        <v>0</v>
      </c>
      <c r="L24" s="28"/>
      <c r="M24" s="28"/>
      <c r="N24" s="28" t="str">
        <f t="shared" si="1"/>
        <v/>
      </c>
      <c r="O24" s="28" t="str">
        <f t="shared" si="2"/>
        <v/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f t="shared" si="3"/>
        <v>0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0</v>
      </c>
      <c r="C25" s="28">
        <v>1530.4299999999998</v>
      </c>
      <c r="D25" s="28">
        <v>0</v>
      </c>
      <c r="E25" s="28">
        <v>975.04090900000006</v>
      </c>
      <c r="F25" s="28">
        <v>916.09913600000004</v>
      </c>
      <c r="G25" s="28">
        <v>0</v>
      </c>
      <c r="H25" s="28">
        <v>1677.67</v>
      </c>
      <c r="I25" s="28">
        <v>1624.22</v>
      </c>
      <c r="J25" s="112">
        <v>0</v>
      </c>
      <c r="K25" s="28">
        <f t="shared" si="0"/>
        <v>0</v>
      </c>
      <c r="L25" s="28"/>
      <c r="M25" s="28"/>
      <c r="N25" s="28" t="str">
        <f t="shared" si="1"/>
        <v/>
      </c>
      <c r="O25" s="28" t="str">
        <f t="shared" si="2"/>
        <v/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f t="shared" si="3"/>
        <v>0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0</v>
      </c>
      <c r="C26" s="28">
        <v>1524.74</v>
      </c>
      <c r="D26" s="28">
        <v>0</v>
      </c>
      <c r="E26" s="28">
        <v>978.80447400000003</v>
      </c>
      <c r="F26" s="28">
        <v>914.929124</v>
      </c>
      <c r="G26" s="28">
        <v>0</v>
      </c>
      <c r="H26" s="28">
        <v>1694.28</v>
      </c>
      <c r="I26" s="28">
        <v>1636.97</v>
      </c>
      <c r="J26" s="112">
        <v>0</v>
      </c>
      <c r="K26" s="28">
        <f t="shared" si="0"/>
        <v>0</v>
      </c>
      <c r="L26" s="28"/>
      <c r="M26" s="28"/>
      <c r="N26" s="28" t="str">
        <f t="shared" si="1"/>
        <v/>
      </c>
      <c r="O26" s="28" t="str">
        <f t="shared" si="2"/>
        <v/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f t="shared" si="3"/>
        <v>0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0</v>
      </c>
      <c r="C27" s="28">
        <v>1503.48</v>
      </c>
      <c r="D27" s="28">
        <v>0</v>
      </c>
      <c r="E27" s="28">
        <v>990.75682000000006</v>
      </c>
      <c r="F27" s="28">
        <v>923.42034899999999</v>
      </c>
      <c r="G27" s="28">
        <v>0</v>
      </c>
      <c r="H27" s="28">
        <v>1696.49</v>
      </c>
      <c r="I27" s="28">
        <v>1639.15</v>
      </c>
      <c r="J27" s="112">
        <v>0</v>
      </c>
      <c r="K27" s="28">
        <f t="shared" si="0"/>
        <v>0</v>
      </c>
      <c r="L27" s="28"/>
      <c r="M27" s="28"/>
      <c r="N27" s="28" t="str">
        <f t="shared" si="1"/>
        <v/>
      </c>
      <c r="O27" s="28" t="str">
        <f t="shared" si="2"/>
        <v/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f t="shared" si="3"/>
        <v>0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0</v>
      </c>
      <c r="C28" s="28">
        <v>1530.5300000000002</v>
      </c>
      <c r="D28" s="28">
        <v>0</v>
      </c>
      <c r="E28" s="28">
        <v>966.80836500000009</v>
      </c>
      <c r="F28" s="28">
        <v>901.49348499999996</v>
      </c>
      <c r="G28" s="28">
        <v>0</v>
      </c>
      <c r="H28" s="28">
        <v>1493.9</v>
      </c>
      <c r="I28" s="28">
        <v>1438.16</v>
      </c>
      <c r="J28" s="112">
        <v>0</v>
      </c>
      <c r="K28" s="28">
        <f t="shared" si="0"/>
        <v>0</v>
      </c>
      <c r="L28" s="28"/>
      <c r="M28" s="28"/>
      <c r="N28" s="28" t="str">
        <f t="shared" si="1"/>
        <v/>
      </c>
      <c r="O28" s="28" t="str">
        <f t="shared" si="2"/>
        <v/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f t="shared" si="3"/>
        <v>0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0</v>
      </c>
      <c r="C29" s="28">
        <v>1545.9499999999998</v>
      </c>
      <c r="D29" s="28">
        <v>0</v>
      </c>
      <c r="E29" s="28">
        <v>948.95158299999991</v>
      </c>
      <c r="F29" s="28">
        <v>881.23909000000003</v>
      </c>
      <c r="G29" s="28">
        <v>0</v>
      </c>
      <c r="H29" s="28">
        <v>1020.47</v>
      </c>
      <c r="I29" s="28">
        <v>965.17</v>
      </c>
      <c r="J29" s="112">
        <v>0</v>
      </c>
      <c r="K29" s="28">
        <f t="shared" si="0"/>
        <v>0</v>
      </c>
      <c r="L29" s="28"/>
      <c r="M29" s="28"/>
      <c r="N29" s="28" t="str">
        <f t="shared" si="1"/>
        <v/>
      </c>
      <c r="O29" s="28" t="str">
        <f t="shared" si="2"/>
        <v/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f t="shared" si="3"/>
        <v>0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0</v>
      </c>
      <c r="C30" s="28">
        <v>1545.3600000000001</v>
      </c>
      <c r="D30" s="28">
        <v>0</v>
      </c>
      <c r="E30" s="28">
        <v>938.59231499999999</v>
      </c>
      <c r="F30" s="28">
        <v>870.32029699999998</v>
      </c>
      <c r="G30" s="28">
        <v>0</v>
      </c>
      <c r="H30" s="28">
        <v>1011.4</v>
      </c>
      <c r="I30" s="28">
        <v>954.61</v>
      </c>
      <c r="J30" s="112">
        <v>0</v>
      </c>
      <c r="K30" s="28">
        <f t="shared" si="0"/>
        <v>0</v>
      </c>
      <c r="L30" s="28"/>
      <c r="M30" s="28"/>
      <c r="N30" s="28" t="str">
        <f t="shared" si="1"/>
        <v/>
      </c>
      <c r="O30" s="28" t="str">
        <f t="shared" si="2"/>
        <v/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f t="shared" si="3"/>
        <v>0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0</v>
      </c>
      <c r="C31" s="28">
        <v>1534.18</v>
      </c>
      <c r="D31" s="28">
        <v>0</v>
      </c>
      <c r="E31" s="28">
        <v>936.69273399999997</v>
      </c>
      <c r="F31" s="28">
        <v>871.03887900000007</v>
      </c>
      <c r="G31" s="28">
        <v>0</v>
      </c>
      <c r="H31" s="28">
        <v>1022.75</v>
      </c>
      <c r="I31" s="28">
        <v>969.74</v>
      </c>
      <c r="J31" s="112">
        <v>0</v>
      </c>
      <c r="K31" s="28">
        <f t="shared" si="0"/>
        <v>0</v>
      </c>
      <c r="L31" s="28"/>
      <c r="M31" s="28"/>
      <c r="N31" s="28" t="str">
        <f t="shared" si="1"/>
        <v/>
      </c>
      <c r="O31" s="28" t="str">
        <f t="shared" si="2"/>
        <v/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f t="shared" si="3"/>
        <v>0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0</v>
      </c>
      <c r="C32" s="28">
        <v>1597.13</v>
      </c>
      <c r="D32" s="28">
        <v>0</v>
      </c>
      <c r="E32" s="28">
        <v>900.01211599999999</v>
      </c>
      <c r="F32" s="28">
        <v>831.86152500000003</v>
      </c>
      <c r="G32" s="28">
        <v>0</v>
      </c>
      <c r="H32" s="28">
        <v>1028.74</v>
      </c>
      <c r="I32" s="28">
        <v>959.03</v>
      </c>
      <c r="J32" s="112">
        <v>0</v>
      </c>
      <c r="K32" s="28">
        <f t="shared" si="0"/>
        <v>0</v>
      </c>
      <c r="L32" s="28"/>
      <c r="M32" s="28"/>
      <c r="N32" s="28" t="str">
        <f t="shared" si="1"/>
        <v/>
      </c>
      <c r="O32" s="28" t="str">
        <f t="shared" si="2"/>
        <v/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f t="shared" si="3"/>
        <v>0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0</v>
      </c>
      <c r="C33" s="28">
        <v>1615.83</v>
      </c>
      <c r="D33" s="28">
        <v>0</v>
      </c>
      <c r="E33" s="28">
        <v>891.28137200000003</v>
      </c>
      <c r="F33" s="28">
        <v>820.50695700000006</v>
      </c>
      <c r="G33" s="28">
        <v>0</v>
      </c>
      <c r="H33" s="28">
        <v>983.33</v>
      </c>
      <c r="I33" s="28">
        <v>908.48</v>
      </c>
      <c r="J33" s="112">
        <v>0</v>
      </c>
      <c r="K33" s="28">
        <f t="shared" si="0"/>
        <v>0</v>
      </c>
      <c r="L33" s="28"/>
      <c r="M33" s="28"/>
      <c r="N33" s="28" t="str">
        <f t="shared" si="1"/>
        <v/>
      </c>
      <c r="O33" s="28" t="str">
        <f t="shared" si="2"/>
        <v/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f t="shared" si="3"/>
        <v>0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0</v>
      </c>
      <c r="C34" s="28">
        <v>1630.13</v>
      </c>
      <c r="D34" s="28">
        <v>0</v>
      </c>
      <c r="E34" s="28">
        <v>879.218887</v>
      </c>
      <c r="F34" s="28">
        <v>808.176377</v>
      </c>
      <c r="G34" s="28">
        <v>0</v>
      </c>
      <c r="H34" s="28">
        <v>983.21</v>
      </c>
      <c r="I34" s="28">
        <v>909.53</v>
      </c>
      <c r="J34" s="112">
        <v>0</v>
      </c>
      <c r="K34" s="28">
        <f t="shared" si="0"/>
        <v>0</v>
      </c>
      <c r="L34" s="28"/>
      <c r="M34" s="28"/>
      <c r="N34" s="28" t="str">
        <f t="shared" si="1"/>
        <v/>
      </c>
      <c r="O34" s="28" t="str">
        <f t="shared" si="2"/>
        <v/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f t="shared" si="3"/>
        <v>0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0</v>
      </c>
      <c r="C35" s="28">
        <v>1618.48</v>
      </c>
      <c r="D35" s="28">
        <v>0</v>
      </c>
      <c r="E35" s="28">
        <v>889.41780100000005</v>
      </c>
      <c r="F35" s="28">
        <v>819.02023299999996</v>
      </c>
      <c r="G35" s="28">
        <v>0</v>
      </c>
      <c r="H35" s="28">
        <v>967.88</v>
      </c>
      <c r="I35" s="28">
        <v>894.26</v>
      </c>
      <c r="J35" s="112">
        <v>0</v>
      </c>
      <c r="K35" s="116">
        <f t="shared" si="0"/>
        <v>0</v>
      </c>
      <c r="L35" s="28"/>
      <c r="M35" s="28"/>
      <c r="N35" s="28" t="str">
        <f t="shared" si="1"/>
        <v/>
      </c>
      <c r="O35" s="28" t="str">
        <f t="shared" si="2"/>
        <v/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f t="shared" si="3"/>
        <v>0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0</v>
      </c>
      <c r="C36" s="35">
        <f t="shared" ref="C36:J36" si="4">SUM(C12:C35)</f>
        <v>33822.670000000006</v>
      </c>
      <c r="D36" s="35">
        <f t="shared" si="4"/>
        <v>0.02</v>
      </c>
      <c r="E36" s="35">
        <f t="shared" si="4"/>
        <v>23035.054094000003</v>
      </c>
      <c r="F36" s="35">
        <f t="shared" si="4"/>
        <v>21527.209669</v>
      </c>
      <c r="G36" s="35">
        <f t="shared" si="4"/>
        <v>0</v>
      </c>
      <c r="H36" s="35">
        <f t="shared" si="4"/>
        <v>34769.97</v>
      </c>
      <c r="I36" s="35">
        <f t="shared" si="4"/>
        <v>33474.590000000004</v>
      </c>
      <c r="J36" s="35">
        <f t="shared" si="4"/>
        <v>0</v>
      </c>
      <c r="K36" s="36"/>
      <c r="L36" s="37"/>
      <c r="M36" s="38"/>
      <c r="N36" s="35" t="str">
        <f>IFERROR(AVERAGE(N12:N35),"")</f>
        <v/>
      </c>
      <c r="O36" s="39">
        <f t="shared" ref="O36:U36" si="5">SUM(O12:O35)</f>
        <v>0</v>
      </c>
      <c r="P36" s="39">
        <f t="shared" si="5"/>
        <v>0</v>
      </c>
      <c r="Q36" s="39">
        <f t="shared" si="5"/>
        <v>0</v>
      </c>
      <c r="R36" s="39">
        <f t="shared" si="5"/>
        <v>0</v>
      </c>
      <c r="S36" s="39">
        <f t="shared" si="5"/>
        <v>0</v>
      </c>
      <c r="T36" s="39">
        <f t="shared" si="5"/>
        <v>0</v>
      </c>
      <c r="U36" s="39">
        <f t="shared" si="5"/>
        <v>0</v>
      </c>
      <c r="V36" s="39">
        <f>SUM(V12:V35)</f>
        <v>0</v>
      </c>
      <c r="W36" s="40">
        <f>SUM(W12:W35)</f>
        <v>0</v>
      </c>
      <c r="X36" s="40"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X36</f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68244.56</v>
      </c>
      <c r="J41" s="41"/>
      <c r="K41" s="13" t="s">
        <v>59</v>
      </c>
      <c r="L41" s="113">
        <v>43668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0</v>
      </c>
      <c r="B42" s="57">
        <v>0</v>
      </c>
      <c r="C42" s="57">
        <v>1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10138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 t="str">
        <f>IFERROR(3412.14/N36,"")</f>
        <v/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21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Amarildo Reales Silvera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2377.6999999999998</v>
      </c>
      <c r="D58" s="81">
        <v>0</v>
      </c>
      <c r="E58" s="82">
        <v>0</v>
      </c>
      <c r="F58" s="83">
        <v>4662.4547120000007</v>
      </c>
      <c r="G58" s="82">
        <v>0</v>
      </c>
      <c r="H58" s="84">
        <f t="shared" ref="H58:H81" si="6">IF(G58=0,0,100*(E58-G58)/G58)</f>
        <v>0</v>
      </c>
      <c r="I58" s="85"/>
      <c r="J58" s="85"/>
      <c r="K58" s="86" t="str">
        <f t="shared" ref="K58:K81" si="7">IFERROR(U58*1000*2.2*$K$92/E58/1000,"")</f>
        <v/>
      </c>
      <c r="L58" s="87"/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2386.4</v>
      </c>
      <c r="D59" s="81">
        <v>0</v>
      </c>
      <c r="E59" s="82">
        <v>0</v>
      </c>
      <c r="F59" s="82">
        <v>4651.5712889999995</v>
      </c>
      <c r="G59" s="82">
        <v>0</v>
      </c>
      <c r="H59" s="91">
        <f t="shared" si="6"/>
        <v>0</v>
      </c>
      <c r="I59" s="85"/>
      <c r="J59" s="85"/>
      <c r="K59" s="86" t="str">
        <f t="shared" si="7"/>
        <v/>
      </c>
      <c r="L59" s="87" t="str">
        <f t="shared" ref="L59:L81" si="8">IF(OR(H59&gt;5,H59&lt;-5),E59-G59,"")</f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9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2389.81</v>
      </c>
      <c r="D60" s="81">
        <v>0</v>
      </c>
      <c r="E60" s="82">
        <v>0</v>
      </c>
      <c r="F60" s="82">
        <v>4635.221313</v>
      </c>
      <c r="G60" s="82">
        <v>0</v>
      </c>
      <c r="H60" s="91">
        <f t="shared" si="6"/>
        <v>0</v>
      </c>
      <c r="I60" s="85"/>
      <c r="J60" s="85"/>
      <c r="K60" s="86" t="str">
        <f t="shared" si="7"/>
        <v/>
      </c>
      <c r="L60" s="87" t="str">
        <f t="shared" si="8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9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2395.9299999999998</v>
      </c>
      <c r="D61" s="81">
        <v>0</v>
      </c>
      <c r="E61" s="82">
        <v>0</v>
      </c>
      <c r="F61" s="82">
        <v>4634.7437740000005</v>
      </c>
      <c r="G61" s="82">
        <v>0</v>
      </c>
      <c r="H61" s="91">
        <f t="shared" si="6"/>
        <v>0</v>
      </c>
      <c r="I61" s="85"/>
      <c r="J61" s="85"/>
      <c r="K61" s="86" t="str">
        <f t="shared" si="7"/>
        <v/>
      </c>
      <c r="L61" s="87" t="str">
        <f t="shared" si="8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9"/>
        <v>0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2387.7600000000002</v>
      </c>
      <c r="D62" s="81">
        <v>0</v>
      </c>
      <c r="E62" s="82">
        <v>0</v>
      </c>
      <c r="F62" s="82">
        <v>4637.4025879999999</v>
      </c>
      <c r="G62" s="82">
        <v>0</v>
      </c>
      <c r="H62" s="91">
        <f t="shared" si="6"/>
        <v>0</v>
      </c>
      <c r="I62" s="85"/>
      <c r="J62" s="85"/>
      <c r="K62" s="86" t="str">
        <f t="shared" si="7"/>
        <v/>
      </c>
      <c r="L62" s="87" t="str">
        <f t="shared" si="8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9"/>
        <v>0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2252.4899999999998</v>
      </c>
      <c r="D63" s="81">
        <v>0.19</v>
      </c>
      <c r="E63" s="82">
        <v>0</v>
      </c>
      <c r="F63" s="82">
        <v>4866.886109</v>
      </c>
      <c r="G63" s="82">
        <v>0</v>
      </c>
      <c r="H63" s="91">
        <f t="shared" si="6"/>
        <v>0</v>
      </c>
      <c r="I63" s="85"/>
      <c r="J63" s="85"/>
      <c r="K63" s="86" t="str">
        <f t="shared" si="7"/>
        <v/>
      </c>
      <c r="L63" s="87" t="str">
        <f t="shared" si="8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9"/>
        <v>0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2160.61</v>
      </c>
      <c r="D64" s="81">
        <v>0</v>
      </c>
      <c r="E64" s="82">
        <v>0</v>
      </c>
      <c r="F64" s="82">
        <v>4994.7214359999998</v>
      </c>
      <c r="G64" s="82">
        <v>0</v>
      </c>
      <c r="H64" s="91">
        <f t="shared" si="6"/>
        <v>0</v>
      </c>
      <c r="I64" s="85"/>
      <c r="J64" s="85"/>
      <c r="K64" s="86" t="str">
        <f t="shared" si="7"/>
        <v/>
      </c>
      <c r="L64" s="87" t="str">
        <f t="shared" si="8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9"/>
        <v>0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2131.19</v>
      </c>
      <c r="D65" s="81">
        <v>0</v>
      </c>
      <c r="E65" s="82">
        <v>0</v>
      </c>
      <c r="F65" s="82">
        <v>5013.9185790000001</v>
      </c>
      <c r="G65" s="82">
        <v>0</v>
      </c>
      <c r="H65" s="91">
        <f t="shared" si="6"/>
        <v>0</v>
      </c>
      <c r="I65" s="85"/>
      <c r="J65" s="85"/>
      <c r="K65" s="86" t="str">
        <f t="shared" si="7"/>
        <v/>
      </c>
      <c r="L65" s="87" t="str">
        <f t="shared" si="8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9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2126.44</v>
      </c>
      <c r="D66" s="81">
        <v>0</v>
      </c>
      <c r="E66" s="82">
        <v>0</v>
      </c>
      <c r="F66" s="82">
        <v>5011.135131</v>
      </c>
      <c r="G66" s="82">
        <v>0</v>
      </c>
      <c r="H66" s="91">
        <f t="shared" si="6"/>
        <v>0</v>
      </c>
      <c r="I66" s="85"/>
      <c r="J66" s="85"/>
      <c r="K66" s="86" t="str">
        <f t="shared" si="7"/>
        <v/>
      </c>
      <c r="L66" s="87" t="str">
        <f t="shared" si="8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9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2111.73</v>
      </c>
      <c r="D67" s="81">
        <v>0</v>
      </c>
      <c r="E67" s="82">
        <v>0</v>
      </c>
      <c r="F67" s="82">
        <v>5072.7934580000001</v>
      </c>
      <c r="G67" s="82">
        <v>0</v>
      </c>
      <c r="H67" s="91">
        <f t="shared" si="6"/>
        <v>0</v>
      </c>
      <c r="I67" s="85"/>
      <c r="J67" s="85"/>
      <c r="K67" s="86" t="str">
        <f t="shared" si="7"/>
        <v/>
      </c>
      <c r="L67" s="87" t="str">
        <f t="shared" si="8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9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2073.89</v>
      </c>
      <c r="D68" s="81">
        <v>0</v>
      </c>
      <c r="E68" s="82">
        <v>0</v>
      </c>
      <c r="F68" s="82">
        <v>5131.8183599999993</v>
      </c>
      <c r="G68" s="82">
        <v>0</v>
      </c>
      <c r="H68" s="91">
        <f t="shared" si="6"/>
        <v>0</v>
      </c>
      <c r="I68" s="85"/>
      <c r="K68" s="86" t="str">
        <f t="shared" si="7"/>
        <v/>
      </c>
      <c r="L68" s="87" t="str">
        <f t="shared" si="8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9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1906.05</v>
      </c>
      <c r="D69" s="81">
        <v>0</v>
      </c>
      <c r="E69" s="82">
        <v>0</v>
      </c>
      <c r="F69" s="82">
        <v>4992.3411859999997</v>
      </c>
      <c r="G69" s="82">
        <v>0</v>
      </c>
      <c r="H69" s="91">
        <f t="shared" si="6"/>
        <v>0</v>
      </c>
      <c r="I69" s="85"/>
      <c r="J69" s="85"/>
      <c r="K69" s="86" t="str">
        <f t="shared" si="7"/>
        <v/>
      </c>
      <c r="L69" s="87" t="str">
        <f t="shared" si="8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9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1848.58</v>
      </c>
      <c r="D70" s="81">
        <v>0</v>
      </c>
      <c r="E70" s="82">
        <v>0</v>
      </c>
      <c r="F70" s="82">
        <v>4620.0792239999992</v>
      </c>
      <c r="G70" s="82">
        <v>0</v>
      </c>
      <c r="H70" s="91">
        <f t="shared" si="6"/>
        <v>0</v>
      </c>
      <c r="I70" s="85"/>
      <c r="J70" s="85"/>
      <c r="K70" s="86" t="str">
        <f t="shared" si="7"/>
        <v/>
      </c>
      <c r="L70" s="87" t="str">
        <f t="shared" si="8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9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1860.43</v>
      </c>
      <c r="D71" s="81">
        <v>0</v>
      </c>
      <c r="E71" s="82">
        <v>0</v>
      </c>
      <c r="F71" s="82">
        <v>4617.8503409999994</v>
      </c>
      <c r="G71" s="82">
        <v>0</v>
      </c>
      <c r="H71" s="91">
        <f t="shared" si="6"/>
        <v>0</v>
      </c>
      <c r="I71" s="85"/>
      <c r="J71" s="85"/>
      <c r="K71" s="86" t="str">
        <f t="shared" si="7"/>
        <v/>
      </c>
      <c r="L71" s="87" t="str">
        <f t="shared" si="8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9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1864.32</v>
      </c>
      <c r="D72" s="81">
        <v>0</v>
      </c>
      <c r="E72" s="82">
        <v>0</v>
      </c>
      <c r="F72" s="82">
        <v>4607.1848149999996</v>
      </c>
      <c r="G72" s="82">
        <v>0</v>
      </c>
      <c r="H72" s="91">
        <f t="shared" si="6"/>
        <v>0</v>
      </c>
      <c r="I72" s="85"/>
      <c r="J72" s="85"/>
      <c r="K72" s="86" t="str">
        <f t="shared" si="7"/>
        <v/>
      </c>
      <c r="L72" s="87" t="str">
        <f t="shared" si="8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9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1927.66</v>
      </c>
      <c r="D73" s="81">
        <v>0.3</v>
      </c>
      <c r="E73" s="82">
        <v>0</v>
      </c>
      <c r="F73" s="82">
        <v>4493.6265870000007</v>
      </c>
      <c r="G73" s="82">
        <v>0</v>
      </c>
      <c r="H73" s="91">
        <f t="shared" si="6"/>
        <v>0</v>
      </c>
      <c r="I73" s="85"/>
      <c r="J73" s="85"/>
      <c r="K73" s="86" t="str">
        <f t="shared" si="7"/>
        <v/>
      </c>
      <c r="L73" s="87" t="str">
        <f t="shared" si="8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9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1927.25</v>
      </c>
      <c r="D74" s="81">
        <v>7.0000000000000007E-2</v>
      </c>
      <c r="E74" s="82">
        <v>0</v>
      </c>
      <c r="F74" s="82">
        <v>4506.1530760000005</v>
      </c>
      <c r="G74" s="82">
        <v>0</v>
      </c>
      <c r="H74" s="91">
        <f t="shared" si="6"/>
        <v>0</v>
      </c>
      <c r="I74" s="85"/>
      <c r="J74" s="85"/>
      <c r="K74" s="86" t="str">
        <f t="shared" si="7"/>
        <v/>
      </c>
      <c r="L74" s="87" t="str">
        <f t="shared" si="8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9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1902.66</v>
      </c>
      <c r="D75" s="81">
        <v>0</v>
      </c>
      <c r="E75" s="82">
        <v>0</v>
      </c>
      <c r="F75" s="82">
        <v>4574.0178219999998</v>
      </c>
      <c r="G75" s="82">
        <v>0</v>
      </c>
      <c r="H75" s="91">
        <f t="shared" si="6"/>
        <v>0</v>
      </c>
      <c r="I75" s="85"/>
      <c r="J75" s="85"/>
      <c r="K75" s="86" t="str">
        <f t="shared" si="7"/>
        <v/>
      </c>
      <c r="L75" s="87" t="str">
        <f t="shared" si="8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9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1939.83</v>
      </c>
      <c r="D76" s="81">
        <v>0</v>
      </c>
      <c r="E76" s="82">
        <v>0</v>
      </c>
      <c r="F76" s="82">
        <v>4541.585204</v>
      </c>
      <c r="G76" s="82">
        <v>0</v>
      </c>
      <c r="H76" s="91">
        <f t="shared" si="6"/>
        <v>0</v>
      </c>
      <c r="I76" s="85"/>
      <c r="J76" s="85"/>
      <c r="K76" s="86" t="str">
        <f t="shared" si="7"/>
        <v/>
      </c>
      <c r="L76" s="87" t="str">
        <f t="shared" si="8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9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1881.12</v>
      </c>
      <c r="D77" s="81">
        <v>0</v>
      </c>
      <c r="E77" s="82">
        <v>0</v>
      </c>
      <c r="F77" s="82">
        <v>4618.0288080000009</v>
      </c>
      <c r="G77" s="82">
        <v>0</v>
      </c>
      <c r="H77" s="91">
        <f t="shared" si="6"/>
        <v>0</v>
      </c>
      <c r="I77" s="85"/>
      <c r="J77" s="85"/>
      <c r="K77" s="86" t="str">
        <f t="shared" si="7"/>
        <v/>
      </c>
      <c r="L77" s="87" t="str">
        <f t="shared" si="8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9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1754.05</v>
      </c>
      <c r="D78" s="81">
        <v>0</v>
      </c>
      <c r="E78" s="82">
        <v>0</v>
      </c>
      <c r="F78" s="82">
        <v>4768.7398679999997</v>
      </c>
      <c r="G78" s="82">
        <v>0</v>
      </c>
      <c r="H78" s="91">
        <f t="shared" si="6"/>
        <v>0</v>
      </c>
      <c r="I78" s="85"/>
      <c r="J78" s="85"/>
      <c r="K78" s="86" t="str">
        <f t="shared" si="7"/>
        <v/>
      </c>
      <c r="L78" s="87" t="str">
        <f t="shared" si="8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9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982.66</v>
      </c>
      <c r="D79" s="81">
        <v>0.71</v>
      </c>
      <c r="E79" s="82">
        <v>0</v>
      </c>
      <c r="F79" s="82">
        <v>6403.5960690000002</v>
      </c>
      <c r="G79" s="82">
        <v>0</v>
      </c>
      <c r="H79" s="91">
        <f t="shared" si="6"/>
        <v>0</v>
      </c>
      <c r="I79" s="85"/>
      <c r="J79" s="85"/>
      <c r="K79" s="86" t="str">
        <f t="shared" si="7"/>
        <v/>
      </c>
      <c r="L79" s="87" t="str">
        <f t="shared" si="8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9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903.21</v>
      </c>
      <c r="D80" s="81">
        <v>0.16</v>
      </c>
      <c r="E80" s="82">
        <v>0</v>
      </c>
      <c r="F80" s="82">
        <v>6598.3508300000003</v>
      </c>
      <c r="G80" s="82">
        <v>0</v>
      </c>
      <c r="H80" s="91">
        <f t="shared" si="6"/>
        <v>0</v>
      </c>
      <c r="I80" s="85"/>
      <c r="J80" s="85"/>
      <c r="K80" s="86" t="str">
        <f t="shared" si="7"/>
        <v/>
      </c>
      <c r="L80" s="87" t="str">
        <f t="shared" si="8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9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593.98</v>
      </c>
      <c r="D81" s="28">
        <v>186.09</v>
      </c>
      <c r="E81" s="96">
        <v>0</v>
      </c>
      <c r="F81" s="97">
        <v>7977.9898680000006</v>
      </c>
      <c r="G81" s="82">
        <v>0</v>
      </c>
      <c r="H81" s="98">
        <f t="shared" si="6"/>
        <v>0</v>
      </c>
      <c r="I81" s="115"/>
      <c r="J81" s="85"/>
      <c r="K81" s="99" t="str">
        <f t="shared" si="7"/>
        <v/>
      </c>
      <c r="L81" s="87" t="str">
        <f t="shared" si="8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9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0">SUM(B58:B81)</f>
        <v>0</v>
      </c>
      <c r="C82" s="35">
        <f t="shared" si="10"/>
        <v>46085.750000000015</v>
      </c>
      <c r="D82" s="35">
        <f t="shared" si="10"/>
        <v>187.52</v>
      </c>
      <c r="E82" s="35">
        <f t="shared" si="10"/>
        <v>0</v>
      </c>
      <c r="F82" s="101">
        <f t="shared" si="10"/>
        <v>120632.21044700002</v>
      </c>
      <c r="G82" s="35">
        <f t="shared" si="10"/>
        <v>0</v>
      </c>
      <c r="H82" s="102"/>
      <c r="I82" s="103"/>
      <c r="J82" s="104"/>
      <c r="K82" s="105" t="str">
        <f>IFERROR(AVERAGE(K58:K81),"")</f>
        <v/>
      </c>
      <c r="L82" s="40">
        <f t="shared" ref="L82:U82" si="11">SUM(L58:L81)</f>
        <v>0</v>
      </c>
      <c r="M82" s="40">
        <f t="shared" si="11"/>
        <v>0</v>
      </c>
      <c r="N82" s="39">
        <f t="shared" si="11"/>
        <v>0</v>
      </c>
      <c r="O82" s="39">
        <f t="shared" si="11"/>
        <v>0</v>
      </c>
      <c r="P82" s="39">
        <f t="shared" si="11"/>
        <v>0</v>
      </c>
      <c r="Q82" s="39">
        <f t="shared" si="11"/>
        <v>0</v>
      </c>
      <c r="R82" s="39">
        <f t="shared" si="11"/>
        <v>0</v>
      </c>
      <c r="S82" s="39">
        <f t="shared" si="11"/>
        <v>0</v>
      </c>
      <c r="T82" s="39">
        <f t="shared" si="11"/>
        <v>0</v>
      </c>
      <c r="U82" s="39">
        <f t="shared" si="11"/>
        <v>0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120632.21044700002</v>
      </c>
      <c r="J87" s="41"/>
      <c r="K87" s="62" t="s">
        <v>59</v>
      </c>
      <c r="L87" s="113">
        <v>7087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</v>
      </c>
      <c r="B88" s="57">
        <v>0</v>
      </c>
      <c r="C88" s="57">
        <v>1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2470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 t="str">
        <f>IFERROR(3412.14/K82,"")</f>
        <v/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K90:L90"/>
    <mergeCell ref="B91:B92"/>
    <mergeCell ref="C91:I92"/>
    <mergeCell ref="K91:L91"/>
    <mergeCell ref="K92:L92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A85:A86"/>
    <mergeCell ref="B85:B86"/>
    <mergeCell ref="C85:C86"/>
    <mergeCell ref="D85:D86"/>
    <mergeCell ref="H85:I8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H41:H42"/>
    <mergeCell ref="I41:I42"/>
    <mergeCell ref="K44:L44"/>
    <mergeCell ref="C45:I46"/>
    <mergeCell ref="K45:L45"/>
    <mergeCell ref="K46:L46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A39:A40"/>
    <mergeCell ref="B39:B40"/>
    <mergeCell ref="C39:C40"/>
    <mergeCell ref="D39:D40"/>
    <mergeCell ref="H39:I40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1:C1"/>
    <mergeCell ref="D1:U2"/>
    <mergeCell ref="V1:X4"/>
    <mergeCell ref="A2:C2"/>
    <mergeCell ref="A3:C3"/>
    <mergeCell ref="D3:U4"/>
    <mergeCell ref="A4:C4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CB4D-6EF3-407B-8258-DAE403B3A2AD}">
  <dimension ref="A1:Z109"/>
  <sheetViews>
    <sheetView topLeftCell="F51" zoomScale="85" zoomScaleNormal="85" workbookViewId="0">
      <selection activeCell="Y75" sqref="Y75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22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82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0</v>
      </c>
      <c r="C12" s="28">
        <v>1602.26</v>
      </c>
      <c r="D12" s="28">
        <v>0</v>
      </c>
      <c r="E12" s="28">
        <v>0</v>
      </c>
      <c r="F12" s="28">
        <v>0</v>
      </c>
      <c r="G12" s="28">
        <v>0</v>
      </c>
      <c r="H12" s="28">
        <v>896.04031299999997</v>
      </c>
      <c r="I12" s="28">
        <v>828.02</v>
      </c>
      <c r="J12" s="112">
        <v>0</v>
      </c>
      <c r="K12" s="28">
        <f t="shared" ref="K12:K35" si="0">IF(J12=0,0,100*(G12-J12)/J12)</f>
        <v>0</v>
      </c>
      <c r="L12" s="28"/>
      <c r="M12" s="28"/>
      <c r="N12" s="28" t="str">
        <f t="shared" ref="N12:N35" si="1">IFERROR(V12*1000*2.2*$K$46/G12/1000,"")</f>
        <v/>
      </c>
      <c r="O12" s="28" t="str">
        <f t="shared" ref="O12:O35" si="2">IF(OR(K12&gt;5,K12&lt;-5),G12-J12,"")</f>
        <v/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f>+SUM(P12:U12)</f>
        <v>0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0</v>
      </c>
      <c r="C13" s="28">
        <v>1599.7</v>
      </c>
      <c r="D13" s="28">
        <v>0</v>
      </c>
      <c r="E13" s="28">
        <v>0</v>
      </c>
      <c r="F13" s="28">
        <v>0</v>
      </c>
      <c r="G13" s="28">
        <v>0</v>
      </c>
      <c r="H13" s="28">
        <v>892.88301000000001</v>
      </c>
      <c r="I13" s="28">
        <v>824.64</v>
      </c>
      <c r="J13" s="112">
        <v>0</v>
      </c>
      <c r="K13" s="28">
        <f t="shared" si="0"/>
        <v>0</v>
      </c>
      <c r="L13" s="28"/>
      <c r="M13" s="28"/>
      <c r="N13" s="28" t="str">
        <f t="shared" si="1"/>
        <v/>
      </c>
      <c r="O13" s="28" t="str">
        <f t="shared" si="2"/>
        <v/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f t="shared" ref="V13:V35" si="3">+SUM(P13:U13)</f>
        <v>0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0</v>
      </c>
      <c r="C14" s="28">
        <v>1595.69</v>
      </c>
      <c r="D14" s="28">
        <v>0</v>
      </c>
      <c r="E14" s="28">
        <v>0</v>
      </c>
      <c r="F14" s="28">
        <v>0</v>
      </c>
      <c r="G14" s="28">
        <v>0</v>
      </c>
      <c r="H14" s="28">
        <v>892.02259800000002</v>
      </c>
      <c r="I14" s="28">
        <v>827.4</v>
      </c>
      <c r="J14" s="112">
        <v>0</v>
      </c>
      <c r="K14" s="28">
        <f t="shared" si="0"/>
        <v>0</v>
      </c>
      <c r="L14" s="28"/>
      <c r="M14" s="28"/>
      <c r="N14" s="28" t="str">
        <f t="shared" si="1"/>
        <v/>
      </c>
      <c r="O14" s="28" t="str">
        <f t="shared" si="2"/>
        <v/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f t="shared" si="3"/>
        <v>0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0</v>
      </c>
      <c r="C15" s="28">
        <v>1591</v>
      </c>
      <c r="D15" s="28">
        <v>0</v>
      </c>
      <c r="E15" s="28">
        <v>0</v>
      </c>
      <c r="F15" s="28">
        <v>0</v>
      </c>
      <c r="G15" s="28">
        <v>0</v>
      </c>
      <c r="H15" s="28">
        <v>901.91117900000006</v>
      </c>
      <c r="I15" s="28">
        <v>839.21</v>
      </c>
      <c r="J15" s="112">
        <v>0</v>
      </c>
      <c r="K15" s="28">
        <f t="shared" si="0"/>
        <v>0</v>
      </c>
      <c r="L15" s="28"/>
      <c r="M15" s="28"/>
      <c r="N15" s="28" t="str">
        <f t="shared" si="1"/>
        <v/>
      </c>
      <c r="O15" s="28" t="str">
        <f t="shared" si="2"/>
        <v/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f t="shared" si="3"/>
        <v>0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0</v>
      </c>
      <c r="C16" s="28">
        <v>1592.55</v>
      </c>
      <c r="D16" s="28">
        <v>0</v>
      </c>
      <c r="E16" s="28">
        <v>0</v>
      </c>
      <c r="F16" s="28">
        <v>0</v>
      </c>
      <c r="G16" s="28">
        <v>0</v>
      </c>
      <c r="H16" s="28">
        <v>889.67068500000005</v>
      </c>
      <c r="I16" s="28">
        <v>825.97</v>
      </c>
      <c r="J16" s="112">
        <v>0</v>
      </c>
      <c r="K16" s="28">
        <f t="shared" si="0"/>
        <v>0</v>
      </c>
      <c r="L16" s="28"/>
      <c r="M16" s="28"/>
      <c r="N16" s="28" t="str">
        <f t="shared" si="1"/>
        <v/>
      </c>
      <c r="O16" s="28" t="str">
        <f t="shared" si="2"/>
        <v/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f t="shared" si="3"/>
        <v>0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0</v>
      </c>
      <c r="C17" s="28">
        <v>1620.27</v>
      </c>
      <c r="D17" s="28">
        <v>0</v>
      </c>
      <c r="E17" s="28">
        <v>0</v>
      </c>
      <c r="F17" s="28">
        <v>0</v>
      </c>
      <c r="G17" s="28">
        <v>0</v>
      </c>
      <c r="H17" s="28">
        <v>891.66975400000001</v>
      </c>
      <c r="I17" s="28">
        <v>826.83</v>
      </c>
      <c r="J17" s="112">
        <v>0</v>
      </c>
      <c r="K17" s="28">
        <f t="shared" si="0"/>
        <v>0</v>
      </c>
      <c r="L17" s="28"/>
      <c r="M17" s="28"/>
      <c r="N17" s="28" t="str">
        <f t="shared" si="1"/>
        <v/>
      </c>
      <c r="O17" s="28" t="str">
        <f t="shared" si="2"/>
        <v/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f t="shared" si="3"/>
        <v>0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0</v>
      </c>
      <c r="C18" s="28">
        <v>1620.33</v>
      </c>
      <c r="D18" s="28">
        <v>0</v>
      </c>
      <c r="E18" s="28">
        <v>0</v>
      </c>
      <c r="F18" s="28">
        <v>0</v>
      </c>
      <c r="G18" s="28">
        <v>0</v>
      </c>
      <c r="H18" s="28">
        <v>899.023056</v>
      </c>
      <c r="I18" s="28">
        <v>834.65</v>
      </c>
      <c r="J18" s="112">
        <v>0</v>
      </c>
      <c r="K18" s="28">
        <f t="shared" si="0"/>
        <v>0</v>
      </c>
      <c r="L18" s="28"/>
      <c r="M18" s="28"/>
      <c r="N18" s="28" t="str">
        <f t="shared" si="1"/>
        <v/>
      </c>
      <c r="O18" s="28" t="str">
        <f t="shared" si="2"/>
        <v/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f t="shared" si="3"/>
        <v>0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0</v>
      </c>
      <c r="C19" s="28">
        <v>1615.11</v>
      </c>
      <c r="D19" s="28">
        <v>0</v>
      </c>
      <c r="E19" s="28">
        <v>0</v>
      </c>
      <c r="F19" s="28">
        <v>0</v>
      </c>
      <c r="G19" s="28">
        <v>0</v>
      </c>
      <c r="H19" s="28">
        <v>909.21476699999994</v>
      </c>
      <c r="I19" s="28">
        <v>846.6</v>
      </c>
      <c r="J19" s="112">
        <v>0</v>
      </c>
      <c r="K19" s="28">
        <f t="shared" si="0"/>
        <v>0</v>
      </c>
      <c r="L19" s="28"/>
      <c r="M19" s="28"/>
      <c r="N19" s="28" t="str">
        <f t="shared" si="1"/>
        <v/>
      </c>
      <c r="O19" s="28" t="str">
        <f t="shared" si="2"/>
        <v/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f t="shared" si="3"/>
        <v>0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0</v>
      </c>
      <c r="C20" s="28">
        <v>1614</v>
      </c>
      <c r="D20" s="28">
        <v>0</v>
      </c>
      <c r="E20" s="28">
        <v>0</v>
      </c>
      <c r="F20" s="28">
        <v>0</v>
      </c>
      <c r="G20" s="28">
        <v>0</v>
      </c>
      <c r="H20" s="28">
        <v>924.4078219999999</v>
      </c>
      <c r="I20" s="28">
        <v>878.57</v>
      </c>
      <c r="J20" s="112">
        <v>0</v>
      </c>
      <c r="K20" s="28">
        <f t="shared" si="0"/>
        <v>0</v>
      </c>
      <c r="L20" s="28"/>
      <c r="M20" s="28"/>
      <c r="N20" s="28" t="str">
        <f t="shared" si="1"/>
        <v/>
      </c>
      <c r="O20" s="28" t="str">
        <f t="shared" si="2"/>
        <v/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f t="shared" si="3"/>
        <v>0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0</v>
      </c>
      <c r="C21" s="28">
        <v>1594.52</v>
      </c>
      <c r="D21" s="28">
        <v>0</v>
      </c>
      <c r="E21" s="28">
        <v>0</v>
      </c>
      <c r="F21" s="28">
        <v>0</v>
      </c>
      <c r="G21" s="28">
        <v>0</v>
      </c>
      <c r="H21" s="28">
        <v>955.76183999999989</v>
      </c>
      <c r="I21" s="28">
        <v>915.06</v>
      </c>
      <c r="J21" s="112">
        <v>0</v>
      </c>
      <c r="K21" s="28">
        <f t="shared" si="0"/>
        <v>0</v>
      </c>
      <c r="L21" s="28"/>
      <c r="M21" s="28"/>
      <c r="N21" s="28" t="str">
        <f t="shared" si="1"/>
        <v/>
      </c>
      <c r="O21" s="28" t="str">
        <f t="shared" si="2"/>
        <v/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f t="shared" si="3"/>
        <v>0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0</v>
      </c>
      <c r="C22" s="28">
        <v>1635.12</v>
      </c>
      <c r="D22" s="28">
        <v>0</v>
      </c>
      <c r="E22" s="28">
        <v>0</v>
      </c>
      <c r="F22" s="28">
        <v>0</v>
      </c>
      <c r="G22" s="28">
        <v>0</v>
      </c>
      <c r="H22" s="28">
        <v>926.07406600000002</v>
      </c>
      <c r="I22" s="28">
        <v>899.83</v>
      </c>
      <c r="J22" s="112">
        <v>0</v>
      </c>
      <c r="K22" s="28">
        <f t="shared" si="0"/>
        <v>0</v>
      </c>
      <c r="L22" s="28"/>
      <c r="M22" s="28"/>
      <c r="N22" s="28" t="str">
        <f t="shared" si="1"/>
        <v/>
      </c>
      <c r="O22" s="28" t="str">
        <f t="shared" si="2"/>
        <v/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f t="shared" si="3"/>
        <v>0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0</v>
      </c>
      <c r="C23" s="28">
        <v>1643.18</v>
      </c>
      <c r="D23" s="28">
        <v>0</v>
      </c>
      <c r="E23" s="28">
        <v>0</v>
      </c>
      <c r="F23" s="28">
        <v>0</v>
      </c>
      <c r="G23" s="28">
        <v>0</v>
      </c>
      <c r="H23" s="28">
        <v>920.33129899999994</v>
      </c>
      <c r="I23" s="28">
        <v>897</v>
      </c>
      <c r="J23" s="112">
        <v>0</v>
      </c>
      <c r="K23" s="28">
        <f t="shared" si="0"/>
        <v>0</v>
      </c>
      <c r="L23" s="28"/>
      <c r="M23" s="28"/>
      <c r="N23" s="28" t="str">
        <f t="shared" si="1"/>
        <v/>
      </c>
      <c r="O23" s="28" t="str">
        <f t="shared" si="2"/>
        <v/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f t="shared" si="3"/>
        <v>0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0</v>
      </c>
      <c r="C24" s="28">
        <v>1648.8200000000002</v>
      </c>
      <c r="D24" s="28">
        <v>0</v>
      </c>
      <c r="E24" s="28">
        <v>0</v>
      </c>
      <c r="F24" s="28">
        <v>0</v>
      </c>
      <c r="G24" s="28">
        <v>0</v>
      </c>
      <c r="H24" s="28">
        <v>918.88542199999995</v>
      </c>
      <c r="I24" s="28">
        <v>896.17</v>
      </c>
      <c r="J24" s="112">
        <v>0</v>
      </c>
      <c r="K24" s="28">
        <f t="shared" si="0"/>
        <v>0</v>
      </c>
      <c r="L24" s="28"/>
      <c r="M24" s="28"/>
      <c r="N24" s="28" t="str">
        <f t="shared" si="1"/>
        <v/>
      </c>
      <c r="O24" s="28" t="str">
        <f t="shared" si="2"/>
        <v/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f t="shared" si="3"/>
        <v>0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0</v>
      </c>
      <c r="C25" s="28">
        <v>1632.8600000000001</v>
      </c>
      <c r="D25" s="28">
        <v>0</v>
      </c>
      <c r="E25" s="28">
        <v>0</v>
      </c>
      <c r="F25" s="28">
        <v>0</v>
      </c>
      <c r="G25" s="28">
        <v>0</v>
      </c>
      <c r="H25" s="28">
        <v>938.46597300000008</v>
      </c>
      <c r="I25" s="28">
        <v>895.3</v>
      </c>
      <c r="J25" s="112">
        <v>0</v>
      </c>
      <c r="K25" s="28">
        <f t="shared" si="0"/>
        <v>0</v>
      </c>
      <c r="L25" s="28"/>
      <c r="M25" s="28"/>
      <c r="N25" s="28" t="str">
        <f t="shared" si="1"/>
        <v/>
      </c>
      <c r="O25" s="28" t="str">
        <f t="shared" si="2"/>
        <v/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f t="shared" si="3"/>
        <v>0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0</v>
      </c>
      <c r="C26" s="28">
        <v>1601.63</v>
      </c>
      <c r="D26" s="28">
        <v>0</v>
      </c>
      <c r="E26" s="28">
        <v>0</v>
      </c>
      <c r="F26" s="28">
        <v>0</v>
      </c>
      <c r="G26" s="28">
        <v>0</v>
      </c>
      <c r="H26" s="28">
        <v>973.88851899999997</v>
      </c>
      <c r="I26" s="28">
        <v>929.28</v>
      </c>
      <c r="J26" s="112">
        <v>0</v>
      </c>
      <c r="K26" s="28">
        <f t="shared" si="0"/>
        <v>0</v>
      </c>
      <c r="L26" s="28"/>
      <c r="M26" s="28"/>
      <c r="N26" s="28" t="str">
        <f t="shared" si="1"/>
        <v/>
      </c>
      <c r="O26" s="28" t="str">
        <f t="shared" si="2"/>
        <v/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f t="shared" si="3"/>
        <v>0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0</v>
      </c>
      <c r="C27" s="28">
        <v>1631.5900000000001</v>
      </c>
      <c r="D27" s="28">
        <v>0</v>
      </c>
      <c r="E27" s="28">
        <v>0</v>
      </c>
      <c r="F27" s="28">
        <v>0</v>
      </c>
      <c r="G27" s="28">
        <v>0</v>
      </c>
      <c r="H27" s="28">
        <v>955.99111900000003</v>
      </c>
      <c r="I27" s="28">
        <v>918.5</v>
      </c>
      <c r="J27" s="112">
        <v>0</v>
      </c>
      <c r="K27" s="28">
        <f t="shared" si="0"/>
        <v>0</v>
      </c>
      <c r="L27" s="28"/>
      <c r="M27" s="28"/>
      <c r="N27" s="28" t="str">
        <f t="shared" si="1"/>
        <v/>
      </c>
      <c r="O27" s="28" t="str">
        <f t="shared" si="2"/>
        <v/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f t="shared" si="3"/>
        <v>0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0</v>
      </c>
      <c r="C28" s="28">
        <v>1630.3000000000002</v>
      </c>
      <c r="D28" s="28">
        <v>0</v>
      </c>
      <c r="E28" s="28">
        <v>0</v>
      </c>
      <c r="F28" s="28">
        <v>0</v>
      </c>
      <c r="G28" s="28">
        <v>0</v>
      </c>
      <c r="H28" s="28">
        <v>938.28280700000005</v>
      </c>
      <c r="I28" s="28">
        <v>899.03</v>
      </c>
      <c r="J28" s="112">
        <v>0</v>
      </c>
      <c r="K28" s="28">
        <f t="shared" si="0"/>
        <v>0</v>
      </c>
      <c r="L28" s="28"/>
      <c r="M28" s="28"/>
      <c r="N28" s="28" t="str">
        <f t="shared" si="1"/>
        <v/>
      </c>
      <c r="O28" s="28" t="str">
        <f t="shared" si="2"/>
        <v/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f t="shared" si="3"/>
        <v>0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0</v>
      </c>
      <c r="C29" s="28">
        <v>1639.7199999999998</v>
      </c>
      <c r="D29" s="28">
        <v>0</v>
      </c>
      <c r="E29" s="28">
        <v>0</v>
      </c>
      <c r="F29" s="28">
        <v>0</v>
      </c>
      <c r="G29" s="28">
        <v>0</v>
      </c>
      <c r="H29" s="28">
        <v>908.12222399999996</v>
      </c>
      <c r="I29" s="28">
        <v>870.84</v>
      </c>
      <c r="J29" s="112">
        <v>0</v>
      </c>
      <c r="K29" s="28">
        <f t="shared" si="0"/>
        <v>0</v>
      </c>
      <c r="L29" s="28"/>
      <c r="M29" s="28"/>
      <c r="N29" s="28" t="str">
        <f t="shared" si="1"/>
        <v/>
      </c>
      <c r="O29" s="28" t="str">
        <f t="shared" si="2"/>
        <v/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f t="shared" si="3"/>
        <v>0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0</v>
      </c>
      <c r="C30" s="28">
        <v>1645.35</v>
      </c>
      <c r="D30" s="28">
        <v>0</v>
      </c>
      <c r="E30" s="28">
        <v>0</v>
      </c>
      <c r="F30" s="28">
        <v>0</v>
      </c>
      <c r="G30" s="28">
        <v>0</v>
      </c>
      <c r="H30" s="28">
        <v>927.90011600000003</v>
      </c>
      <c r="I30" s="28">
        <v>886.04</v>
      </c>
      <c r="J30" s="112">
        <v>0</v>
      </c>
      <c r="K30" s="28">
        <f t="shared" si="0"/>
        <v>0</v>
      </c>
      <c r="L30" s="28"/>
      <c r="M30" s="28"/>
      <c r="N30" s="28" t="str">
        <f t="shared" si="1"/>
        <v/>
      </c>
      <c r="O30" s="28" t="str">
        <f t="shared" si="2"/>
        <v/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f t="shared" si="3"/>
        <v>0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0</v>
      </c>
      <c r="C31" s="28">
        <v>1632.3200000000002</v>
      </c>
      <c r="D31" s="28">
        <v>0</v>
      </c>
      <c r="E31" s="28">
        <v>0</v>
      </c>
      <c r="F31" s="28">
        <v>0</v>
      </c>
      <c r="G31" s="28">
        <v>0</v>
      </c>
      <c r="H31" s="28">
        <v>924.74209599999995</v>
      </c>
      <c r="I31" s="28">
        <v>882.88</v>
      </c>
      <c r="J31" s="112">
        <v>0</v>
      </c>
      <c r="K31" s="28">
        <f t="shared" si="0"/>
        <v>0</v>
      </c>
      <c r="L31" s="28"/>
      <c r="M31" s="28"/>
      <c r="N31" s="28" t="str">
        <f t="shared" si="1"/>
        <v/>
      </c>
      <c r="O31" s="28" t="str">
        <f t="shared" si="2"/>
        <v/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f t="shared" si="3"/>
        <v>0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0</v>
      </c>
      <c r="C32" s="28">
        <v>1584.22</v>
      </c>
      <c r="D32" s="28">
        <v>0</v>
      </c>
      <c r="E32" s="28">
        <v>0</v>
      </c>
      <c r="F32" s="28">
        <v>0</v>
      </c>
      <c r="G32" s="28">
        <v>0</v>
      </c>
      <c r="H32" s="28">
        <v>787.96594299999992</v>
      </c>
      <c r="I32" s="28">
        <v>737.16</v>
      </c>
      <c r="J32" s="112">
        <v>0</v>
      </c>
      <c r="K32" s="28">
        <f t="shared" si="0"/>
        <v>0</v>
      </c>
      <c r="L32" s="28"/>
      <c r="M32" s="28"/>
      <c r="N32" s="28" t="str">
        <f t="shared" si="1"/>
        <v/>
      </c>
      <c r="O32" s="28" t="str">
        <f t="shared" si="2"/>
        <v/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f t="shared" si="3"/>
        <v>0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0</v>
      </c>
      <c r="C33" s="28">
        <v>1372.02</v>
      </c>
      <c r="D33" s="28">
        <v>0</v>
      </c>
      <c r="E33" s="28">
        <v>0</v>
      </c>
      <c r="F33" s="28">
        <v>0</v>
      </c>
      <c r="G33" s="28">
        <v>0</v>
      </c>
      <c r="H33" s="28">
        <v>772.22447099999999</v>
      </c>
      <c r="I33" s="28">
        <v>717.39</v>
      </c>
      <c r="J33" s="112">
        <v>0</v>
      </c>
      <c r="K33" s="28">
        <f t="shared" si="0"/>
        <v>0</v>
      </c>
      <c r="L33" s="28"/>
      <c r="M33" s="28"/>
      <c r="N33" s="28" t="str">
        <f t="shared" si="1"/>
        <v/>
      </c>
      <c r="O33" s="28" t="str">
        <f t="shared" si="2"/>
        <v/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f t="shared" si="3"/>
        <v>0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0</v>
      </c>
      <c r="C34" s="28">
        <v>1341.3200000000002</v>
      </c>
      <c r="D34" s="28">
        <v>0</v>
      </c>
      <c r="E34" s="28">
        <v>0</v>
      </c>
      <c r="F34" s="28">
        <v>0</v>
      </c>
      <c r="G34" s="28">
        <v>0</v>
      </c>
      <c r="H34" s="28">
        <v>803.31886299999996</v>
      </c>
      <c r="I34" s="28">
        <v>748.09</v>
      </c>
      <c r="J34" s="112">
        <v>0</v>
      </c>
      <c r="K34" s="28">
        <f t="shared" si="0"/>
        <v>0</v>
      </c>
      <c r="L34" s="28"/>
      <c r="M34" s="28"/>
      <c r="N34" s="28" t="str">
        <f t="shared" si="1"/>
        <v/>
      </c>
      <c r="O34" s="28" t="str">
        <f t="shared" si="2"/>
        <v/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f t="shared" si="3"/>
        <v>0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0</v>
      </c>
      <c r="C35" s="28">
        <v>1367.15</v>
      </c>
      <c r="D35" s="28">
        <v>0</v>
      </c>
      <c r="E35" s="28">
        <v>0</v>
      </c>
      <c r="F35" s="28">
        <v>0</v>
      </c>
      <c r="G35" s="28">
        <v>0</v>
      </c>
      <c r="H35" s="28">
        <v>771.60676500000011</v>
      </c>
      <c r="I35" s="28">
        <v>720.8</v>
      </c>
      <c r="J35" s="112">
        <v>0</v>
      </c>
      <c r="K35" s="116">
        <f t="shared" si="0"/>
        <v>0</v>
      </c>
      <c r="L35" s="28"/>
      <c r="M35" s="28"/>
      <c r="N35" s="28" t="str">
        <f t="shared" si="1"/>
        <v/>
      </c>
      <c r="O35" s="28" t="str">
        <f t="shared" si="2"/>
        <v/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f t="shared" si="3"/>
        <v>0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0</v>
      </c>
      <c r="C36" s="35">
        <f t="shared" ref="C36:J36" si="4">SUM(C12:C35)</f>
        <v>38051.03</v>
      </c>
      <c r="D36" s="35">
        <f t="shared" si="4"/>
        <v>0</v>
      </c>
      <c r="E36" s="35">
        <f t="shared" si="4"/>
        <v>0</v>
      </c>
      <c r="F36" s="35">
        <f t="shared" si="4"/>
        <v>0</v>
      </c>
      <c r="G36" s="35">
        <f t="shared" si="4"/>
        <v>0</v>
      </c>
      <c r="H36" s="35">
        <f t="shared" si="4"/>
        <v>21520.404707000002</v>
      </c>
      <c r="I36" s="35">
        <f t="shared" si="4"/>
        <v>20345.259999999998</v>
      </c>
      <c r="J36" s="35">
        <f t="shared" si="4"/>
        <v>0</v>
      </c>
      <c r="K36" s="36"/>
      <c r="L36" s="37"/>
      <c r="M36" s="38"/>
      <c r="N36" s="35" t="str">
        <f>IFERROR(AVERAGE(N12:N35),"")</f>
        <v/>
      </c>
      <c r="O36" s="39">
        <f t="shared" ref="O36:U36" si="5">SUM(O12:O35)</f>
        <v>0</v>
      </c>
      <c r="P36" s="39">
        <f t="shared" si="5"/>
        <v>0</v>
      </c>
      <c r="Q36" s="39">
        <f t="shared" si="5"/>
        <v>0</v>
      </c>
      <c r="R36" s="39">
        <f t="shared" si="5"/>
        <v>0</v>
      </c>
      <c r="S36" s="39">
        <f t="shared" si="5"/>
        <v>0</v>
      </c>
      <c r="T36" s="39">
        <f t="shared" si="5"/>
        <v>0</v>
      </c>
      <c r="U36" s="39">
        <f t="shared" si="5"/>
        <v>0</v>
      </c>
      <c r="V36" s="39">
        <f>SUM(V12:V35)</f>
        <v>0</v>
      </c>
      <c r="W36" s="40">
        <f>SUM(W12:W35)</f>
        <v>0</v>
      </c>
      <c r="X36" s="40"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X36</f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41865.664707000004</v>
      </c>
      <c r="J41" s="41"/>
      <c r="K41" s="13" t="s">
        <v>59</v>
      </c>
      <c r="L41" s="113">
        <v>40577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0</v>
      </c>
      <c r="B42" s="57">
        <v>0</v>
      </c>
      <c r="C42" s="57">
        <v>1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6384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 t="str">
        <f>IFERROR(3412.14/N36,"")</f>
        <v/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22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Amarildo Reales Silvera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1015.37</v>
      </c>
      <c r="D58" s="81">
        <v>0.01</v>
      </c>
      <c r="E58" s="82">
        <v>0</v>
      </c>
      <c r="F58" s="83">
        <v>7129.5</v>
      </c>
      <c r="G58" s="82">
        <v>0</v>
      </c>
      <c r="H58" s="84">
        <f t="shared" ref="H58:H81" si="6">IF(G58=0,0,100*(E58-G58)/G58)</f>
        <v>0</v>
      </c>
      <c r="I58" s="85"/>
      <c r="J58" s="85"/>
      <c r="K58" s="86" t="str">
        <f t="shared" ref="K58:K81" si="7">IFERROR(U58*1000*2.2*$K$92/E58/1000,"")</f>
        <v/>
      </c>
      <c r="L58" s="87"/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648.20000000000005</v>
      </c>
      <c r="D59" s="81">
        <v>0.28999999999999998</v>
      </c>
      <c r="E59" s="82">
        <v>0</v>
      </c>
      <c r="F59" s="82">
        <v>6867.4</v>
      </c>
      <c r="G59" s="82">
        <v>0</v>
      </c>
      <c r="H59" s="91">
        <f t="shared" si="6"/>
        <v>0</v>
      </c>
      <c r="I59" s="85"/>
      <c r="J59" s="85"/>
      <c r="K59" s="86" t="str">
        <f t="shared" si="7"/>
        <v/>
      </c>
      <c r="L59" s="87" t="str">
        <f t="shared" ref="L59:L81" si="8">IF(OR(H59&gt;5,H59&lt;-5),E59-G59,"")</f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9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615.30999999999995</v>
      </c>
      <c r="D60" s="81">
        <v>0</v>
      </c>
      <c r="E60" s="82">
        <v>0</v>
      </c>
      <c r="F60" s="82">
        <v>6820.88</v>
      </c>
      <c r="G60" s="82">
        <v>0</v>
      </c>
      <c r="H60" s="91">
        <f t="shared" si="6"/>
        <v>0</v>
      </c>
      <c r="I60" s="85"/>
      <c r="J60" s="85"/>
      <c r="K60" s="86" t="str">
        <f t="shared" si="7"/>
        <v/>
      </c>
      <c r="L60" s="87" t="str">
        <f t="shared" si="8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9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229.62</v>
      </c>
      <c r="D61" s="81">
        <v>265.94</v>
      </c>
      <c r="E61" s="82">
        <v>0</v>
      </c>
      <c r="F61" s="82">
        <v>9790.11</v>
      </c>
      <c r="G61" s="82">
        <v>0</v>
      </c>
      <c r="H61" s="91">
        <f t="shared" si="6"/>
        <v>0</v>
      </c>
      <c r="I61" s="85"/>
      <c r="J61" s="85"/>
      <c r="K61" s="86" t="str">
        <f t="shared" si="7"/>
        <v/>
      </c>
      <c r="L61" s="87" t="str">
        <f t="shared" si="8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9"/>
        <v>0</v>
      </c>
      <c r="V61" s="81">
        <v>0</v>
      </c>
      <c r="W61" s="81">
        <f>7433.51/10</f>
        <v>743.351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184.3</v>
      </c>
      <c r="D62" s="81">
        <v>476.69</v>
      </c>
      <c r="E62" s="82">
        <v>0</v>
      </c>
      <c r="F62" s="82">
        <v>11310.44</v>
      </c>
      <c r="G62" s="82">
        <v>0</v>
      </c>
      <c r="H62" s="91">
        <f t="shared" si="6"/>
        <v>0</v>
      </c>
      <c r="I62" s="85"/>
      <c r="J62" s="85"/>
      <c r="K62" s="86" t="str">
        <f t="shared" si="7"/>
        <v/>
      </c>
      <c r="L62" s="87" t="str">
        <f t="shared" si="8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9"/>
        <v>0</v>
      </c>
      <c r="V62" s="81">
        <v>0</v>
      </c>
      <c r="W62" s="81">
        <f t="shared" ref="W62:W70" si="10">7433.51/10</f>
        <v>743.351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0</v>
      </c>
      <c r="D63" s="81">
        <v>847.1</v>
      </c>
      <c r="E63" s="82">
        <v>0</v>
      </c>
      <c r="F63" s="82">
        <v>12092.39</v>
      </c>
      <c r="G63" s="82">
        <v>0</v>
      </c>
      <c r="H63" s="91">
        <f t="shared" si="6"/>
        <v>0</v>
      </c>
      <c r="I63" s="85"/>
      <c r="J63" s="85"/>
      <c r="K63" s="86" t="str">
        <f t="shared" si="7"/>
        <v/>
      </c>
      <c r="L63" s="87" t="str">
        <f t="shared" si="8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9"/>
        <v>0</v>
      </c>
      <c r="V63" s="81">
        <v>0</v>
      </c>
      <c r="W63" s="81">
        <f t="shared" si="10"/>
        <v>743.351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0</v>
      </c>
      <c r="D64" s="81">
        <v>864.2</v>
      </c>
      <c r="E64" s="82">
        <v>0</v>
      </c>
      <c r="F64" s="82">
        <v>11936</v>
      </c>
      <c r="G64" s="82">
        <v>0</v>
      </c>
      <c r="H64" s="91">
        <f t="shared" si="6"/>
        <v>0</v>
      </c>
      <c r="I64" s="85"/>
      <c r="J64" s="85"/>
      <c r="K64" s="86" t="str">
        <f t="shared" si="7"/>
        <v/>
      </c>
      <c r="L64" s="87" t="str">
        <f t="shared" si="8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9"/>
        <v>0</v>
      </c>
      <c r="V64" s="81">
        <v>0</v>
      </c>
      <c r="W64" s="81">
        <f t="shared" si="10"/>
        <v>743.351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0</v>
      </c>
      <c r="D65" s="81">
        <v>998.16</v>
      </c>
      <c r="E65" s="82">
        <v>0</v>
      </c>
      <c r="F65" s="82">
        <v>12194.78</v>
      </c>
      <c r="G65" s="82">
        <v>0</v>
      </c>
      <c r="H65" s="91">
        <f t="shared" si="6"/>
        <v>0</v>
      </c>
      <c r="I65" s="85"/>
      <c r="J65" s="85"/>
      <c r="K65" s="86" t="str">
        <f t="shared" si="7"/>
        <v/>
      </c>
      <c r="L65" s="87" t="str">
        <f t="shared" si="8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9"/>
        <v>0</v>
      </c>
      <c r="V65" s="81">
        <v>0</v>
      </c>
      <c r="W65" s="81">
        <f t="shared" si="10"/>
        <v>743.351</v>
      </c>
      <c r="X65" s="89"/>
      <c r="Y65"/>
    </row>
    <row r="66" spans="1:25" ht="16.5" x14ac:dyDescent="0.3">
      <c r="A66" s="90">
        <v>9</v>
      </c>
      <c r="B66" s="28">
        <v>0</v>
      </c>
      <c r="C66" s="28">
        <v>0</v>
      </c>
      <c r="D66" s="81">
        <v>1149.1500000000001</v>
      </c>
      <c r="E66" s="82">
        <v>0</v>
      </c>
      <c r="F66" s="82">
        <v>12574.18</v>
      </c>
      <c r="G66" s="82">
        <v>0</v>
      </c>
      <c r="H66" s="91">
        <f t="shared" si="6"/>
        <v>0</v>
      </c>
      <c r="I66" s="85"/>
      <c r="J66" s="85"/>
      <c r="K66" s="86" t="str">
        <f t="shared" si="7"/>
        <v/>
      </c>
      <c r="L66" s="87" t="str">
        <f t="shared" si="8"/>
        <v/>
      </c>
      <c r="M66" s="88">
        <v>2.66</v>
      </c>
      <c r="N66" s="88">
        <v>1.88</v>
      </c>
      <c r="O66" s="88">
        <v>0</v>
      </c>
      <c r="P66" s="88">
        <v>0</v>
      </c>
      <c r="Q66" s="88">
        <v>2.29</v>
      </c>
      <c r="R66" s="88">
        <v>1.34</v>
      </c>
      <c r="S66" s="88">
        <v>2.54</v>
      </c>
      <c r="T66" s="88">
        <v>0</v>
      </c>
      <c r="U66" s="28">
        <f t="shared" si="9"/>
        <v>10.71</v>
      </c>
      <c r="V66" s="81">
        <v>0</v>
      </c>
      <c r="W66" s="81">
        <f t="shared" si="10"/>
        <v>743.351</v>
      </c>
      <c r="X66" s="89"/>
      <c r="Y66"/>
    </row>
    <row r="67" spans="1:25" ht="16.5" x14ac:dyDescent="0.3">
      <c r="A67" s="90">
        <v>10</v>
      </c>
      <c r="B67" s="28">
        <v>0</v>
      </c>
      <c r="C67" s="28">
        <v>0</v>
      </c>
      <c r="D67" s="81">
        <v>1851.87</v>
      </c>
      <c r="E67" s="82">
        <v>0</v>
      </c>
      <c r="F67" s="82">
        <v>14420.52</v>
      </c>
      <c r="G67" s="82">
        <v>0</v>
      </c>
      <c r="H67" s="91">
        <f t="shared" si="6"/>
        <v>0</v>
      </c>
      <c r="I67" s="85"/>
      <c r="J67" s="85"/>
      <c r="K67" s="86" t="str">
        <f t="shared" si="7"/>
        <v/>
      </c>
      <c r="L67" s="87" t="str">
        <f t="shared" si="8"/>
        <v/>
      </c>
      <c r="M67" s="88">
        <v>2.4300000000000002</v>
      </c>
      <c r="N67" s="88">
        <v>2.57</v>
      </c>
      <c r="O67" s="88">
        <v>3.69</v>
      </c>
      <c r="P67" s="88">
        <v>0</v>
      </c>
      <c r="Q67" s="88">
        <v>2.94</v>
      </c>
      <c r="R67" s="88">
        <v>2.3199999999999998</v>
      </c>
      <c r="S67" s="88">
        <v>4.71</v>
      </c>
      <c r="T67" s="88">
        <v>2.39</v>
      </c>
      <c r="U67" s="28">
        <f t="shared" si="9"/>
        <v>21.05</v>
      </c>
      <c r="V67" s="81">
        <v>0</v>
      </c>
      <c r="W67" s="81">
        <f t="shared" si="10"/>
        <v>743.351</v>
      </c>
      <c r="X67" s="89"/>
      <c r="Y67"/>
    </row>
    <row r="68" spans="1:25" ht="16.5" x14ac:dyDescent="0.3">
      <c r="A68" s="90">
        <v>11</v>
      </c>
      <c r="B68" s="28">
        <v>0</v>
      </c>
      <c r="C68" s="28">
        <v>0</v>
      </c>
      <c r="D68" s="81">
        <v>2007.38</v>
      </c>
      <c r="E68" s="82">
        <v>0</v>
      </c>
      <c r="F68" s="82">
        <v>14982.21</v>
      </c>
      <c r="G68" s="82">
        <v>0</v>
      </c>
      <c r="H68" s="91">
        <f t="shared" si="6"/>
        <v>0</v>
      </c>
      <c r="I68" s="85"/>
      <c r="K68" s="86" t="str">
        <f t="shared" si="7"/>
        <v/>
      </c>
      <c r="L68" s="87" t="str">
        <f t="shared" si="8"/>
        <v/>
      </c>
      <c r="M68" s="88">
        <v>2.4500000000000002</v>
      </c>
      <c r="N68" s="88">
        <v>2.71</v>
      </c>
      <c r="O68" s="88">
        <v>3.87</v>
      </c>
      <c r="P68" s="92">
        <v>0</v>
      </c>
      <c r="Q68" s="88">
        <v>3.08</v>
      </c>
      <c r="R68" s="88">
        <v>2.75</v>
      </c>
      <c r="S68" s="88">
        <v>6.1</v>
      </c>
      <c r="T68" s="88">
        <v>0</v>
      </c>
      <c r="U68" s="28">
        <f t="shared" si="9"/>
        <v>20.96</v>
      </c>
      <c r="V68" s="81">
        <v>0</v>
      </c>
      <c r="W68" s="81">
        <f t="shared" si="10"/>
        <v>743.351</v>
      </c>
      <c r="X68" s="89"/>
      <c r="Y68"/>
    </row>
    <row r="69" spans="1:25" ht="16.5" x14ac:dyDescent="0.3">
      <c r="A69" s="90">
        <v>12</v>
      </c>
      <c r="B69" s="28">
        <v>0</v>
      </c>
      <c r="C69" s="28">
        <v>0</v>
      </c>
      <c r="D69" s="81">
        <v>2023.26</v>
      </c>
      <c r="E69" s="82">
        <v>0</v>
      </c>
      <c r="F69" s="82">
        <v>14938.88</v>
      </c>
      <c r="G69" s="82">
        <v>0</v>
      </c>
      <c r="H69" s="91">
        <f t="shared" si="6"/>
        <v>0</v>
      </c>
      <c r="I69" s="85"/>
      <c r="J69" s="85"/>
      <c r="K69" s="86" t="str">
        <f t="shared" si="7"/>
        <v/>
      </c>
      <c r="L69" s="87" t="str">
        <f t="shared" si="8"/>
        <v/>
      </c>
      <c r="M69" s="88">
        <v>3.92</v>
      </c>
      <c r="N69" s="88">
        <v>2.75</v>
      </c>
      <c r="O69" s="88">
        <v>4.54</v>
      </c>
      <c r="P69" s="92">
        <v>0</v>
      </c>
      <c r="Q69" s="88">
        <v>3.52</v>
      </c>
      <c r="R69" s="88">
        <v>2.5099999999999998</v>
      </c>
      <c r="S69" s="88">
        <v>5.07</v>
      </c>
      <c r="T69" s="88">
        <v>2.29</v>
      </c>
      <c r="U69" s="28">
        <f t="shared" si="9"/>
        <v>24.6</v>
      </c>
      <c r="V69" s="81">
        <v>0</v>
      </c>
      <c r="W69" s="81">
        <f t="shared" si="10"/>
        <v>743.351</v>
      </c>
      <c r="X69" s="89"/>
      <c r="Y69"/>
    </row>
    <row r="70" spans="1:25" ht="16.5" x14ac:dyDescent="0.3">
      <c r="A70" s="90">
        <v>13</v>
      </c>
      <c r="B70" s="28">
        <v>0</v>
      </c>
      <c r="C70" s="28">
        <v>0</v>
      </c>
      <c r="D70" s="81">
        <v>1977.81</v>
      </c>
      <c r="E70" s="82">
        <v>0</v>
      </c>
      <c r="F70" s="82">
        <v>14769.63</v>
      </c>
      <c r="G70" s="82">
        <v>0</v>
      </c>
      <c r="H70" s="91">
        <f t="shared" si="6"/>
        <v>0</v>
      </c>
      <c r="I70" s="85"/>
      <c r="J70" s="85"/>
      <c r="K70" s="86" t="str">
        <f t="shared" si="7"/>
        <v/>
      </c>
      <c r="L70" s="87" t="str">
        <f t="shared" si="8"/>
        <v/>
      </c>
      <c r="M70" s="88">
        <v>3.9</v>
      </c>
      <c r="N70" s="88">
        <v>2.71</v>
      </c>
      <c r="O70" s="88">
        <v>4.97</v>
      </c>
      <c r="P70" s="92">
        <v>0</v>
      </c>
      <c r="Q70" s="88">
        <v>4.1500000000000004</v>
      </c>
      <c r="R70" s="88">
        <v>2.6</v>
      </c>
      <c r="S70" s="88">
        <v>3.89</v>
      </c>
      <c r="T70" s="88">
        <v>2.8</v>
      </c>
      <c r="U70" s="28">
        <f t="shared" si="9"/>
        <v>25.02</v>
      </c>
      <c r="V70" s="81">
        <v>0</v>
      </c>
      <c r="W70" s="81">
        <f t="shared" si="10"/>
        <v>743.351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0</v>
      </c>
      <c r="D71" s="81">
        <v>2088.98</v>
      </c>
      <c r="E71" s="82">
        <v>0</v>
      </c>
      <c r="F71" s="82">
        <v>15210.66</v>
      </c>
      <c r="G71" s="82">
        <v>0</v>
      </c>
      <c r="H71" s="91">
        <f t="shared" si="6"/>
        <v>0</v>
      </c>
      <c r="I71" s="85"/>
      <c r="J71" s="85"/>
      <c r="K71" s="86" t="str">
        <f t="shared" si="7"/>
        <v/>
      </c>
      <c r="L71" s="87" t="str">
        <f t="shared" si="8"/>
        <v/>
      </c>
      <c r="M71" s="88">
        <v>3.92</v>
      </c>
      <c r="N71" s="88">
        <v>3.92</v>
      </c>
      <c r="O71" s="88">
        <v>5.77</v>
      </c>
      <c r="P71" s="92">
        <v>0</v>
      </c>
      <c r="Q71" s="88">
        <v>4.16</v>
      </c>
      <c r="R71" s="88">
        <v>2.75</v>
      </c>
      <c r="S71" s="88">
        <v>4.08</v>
      </c>
      <c r="T71" s="88">
        <v>3.75</v>
      </c>
      <c r="U71" s="28">
        <f t="shared" si="9"/>
        <v>28.35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10730</v>
      </c>
      <c r="C72" s="28">
        <v>5879.52</v>
      </c>
      <c r="D72" s="81">
        <v>1174.82</v>
      </c>
      <c r="E72" s="82">
        <v>3.61</v>
      </c>
      <c r="F72" s="82">
        <v>8988.77</v>
      </c>
      <c r="G72" s="82">
        <v>0</v>
      </c>
      <c r="H72" s="91">
        <f t="shared" si="6"/>
        <v>0</v>
      </c>
      <c r="I72" s="85"/>
      <c r="J72" s="85"/>
      <c r="K72" s="86">
        <f t="shared" si="7"/>
        <v>165967.95124653738</v>
      </c>
      <c r="L72" s="87" t="str">
        <f t="shared" si="8"/>
        <v/>
      </c>
      <c r="M72" s="88">
        <v>4.24</v>
      </c>
      <c r="N72" s="88">
        <v>4.1399999999999997</v>
      </c>
      <c r="O72" s="88">
        <v>5.71</v>
      </c>
      <c r="P72" s="92">
        <v>0</v>
      </c>
      <c r="Q72" s="88">
        <v>4.18</v>
      </c>
      <c r="R72" s="88">
        <v>2.76</v>
      </c>
      <c r="S72" s="88">
        <v>4.3499999999999996</v>
      </c>
      <c r="T72" s="88">
        <v>4.9000000000000004</v>
      </c>
      <c r="U72" s="28">
        <f t="shared" si="9"/>
        <v>30.28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48070</v>
      </c>
      <c r="C73" s="28">
        <v>9686.5499999999993</v>
      </c>
      <c r="D73" s="81">
        <v>3.37</v>
      </c>
      <c r="E73" s="82">
        <v>25.71</v>
      </c>
      <c r="F73" s="82">
        <v>0</v>
      </c>
      <c r="G73" s="82">
        <v>0</v>
      </c>
      <c r="H73" s="91">
        <f t="shared" si="6"/>
        <v>0</v>
      </c>
      <c r="I73" s="85"/>
      <c r="J73" s="85"/>
      <c r="K73" s="86">
        <f t="shared" si="7"/>
        <v>28106.337456242705</v>
      </c>
      <c r="L73" s="87" t="str">
        <f t="shared" si="8"/>
        <v/>
      </c>
      <c r="M73" s="88">
        <v>5.64</v>
      </c>
      <c r="N73" s="88">
        <v>4.71</v>
      </c>
      <c r="O73" s="88">
        <v>6.99</v>
      </c>
      <c r="P73" s="88">
        <v>0</v>
      </c>
      <c r="Q73" s="88">
        <v>5.43</v>
      </c>
      <c r="R73" s="88">
        <v>2.85</v>
      </c>
      <c r="S73" s="88">
        <v>4.7300000000000004</v>
      </c>
      <c r="T73" s="88">
        <v>6.17</v>
      </c>
      <c r="U73" s="28">
        <f t="shared" si="9"/>
        <v>36.520000000000003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52990</v>
      </c>
      <c r="C74" s="28">
        <v>8552.7000000000007</v>
      </c>
      <c r="D74" s="81">
        <v>0</v>
      </c>
      <c r="E74" s="82">
        <v>33.340000000000003</v>
      </c>
      <c r="F74" s="82">
        <v>0</v>
      </c>
      <c r="G74" s="82">
        <v>0</v>
      </c>
      <c r="H74" s="91">
        <f t="shared" si="6"/>
        <v>0</v>
      </c>
      <c r="I74" s="85"/>
      <c r="J74" s="85"/>
      <c r="K74" s="86">
        <f t="shared" si="7"/>
        <v>22997.555488902217</v>
      </c>
      <c r="L74" s="87" t="str">
        <f t="shared" si="8"/>
        <v/>
      </c>
      <c r="M74" s="88">
        <v>5.82</v>
      </c>
      <c r="N74" s="88">
        <v>4.87</v>
      </c>
      <c r="O74" s="88">
        <v>7.9</v>
      </c>
      <c r="P74" s="88">
        <v>0</v>
      </c>
      <c r="Q74" s="88">
        <v>6.36</v>
      </c>
      <c r="R74" s="88">
        <v>2.76</v>
      </c>
      <c r="S74" s="88">
        <v>5.28</v>
      </c>
      <c r="T74" s="88">
        <v>5.76</v>
      </c>
      <c r="U74" s="28">
        <f t="shared" si="9"/>
        <v>38.75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55940</v>
      </c>
      <c r="C75" s="28">
        <v>4111.76</v>
      </c>
      <c r="D75" s="81">
        <v>0</v>
      </c>
      <c r="E75" s="82">
        <v>35.68</v>
      </c>
      <c r="F75" s="82">
        <v>0</v>
      </c>
      <c r="G75" s="82">
        <v>0</v>
      </c>
      <c r="H75" s="91">
        <f t="shared" si="6"/>
        <v>0</v>
      </c>
      <c r="I75" s="85"/>
      <c r="J75" s="85"/>
      <c r="K75" s="86">
        <f t="shared" si="7"/>
        <v>21505.944618834081</v>
      </c>
      <c r="L75" s="87" t="str">
        <f t="shared" si="8"/>
        <v/>
      </c>
      <c r="M75" s="88">
        <v>5.62</v>
      </c>
      <c r="N75" s="88">
        <v>4.88</v>
      </c>
      <c r="O75" s="88">
        <v>7.86</v>
      </c>
      <c r="P75" s="88">
        <v>0</v>
      </c>
      <c r="Q75" s="88">
        <v>6.36</v>
      </c>
      <c r="R75" s="88">
        <v>3.33</v>
      </c>
      <c r="S75" s="88">
        <v>4.9800000000000004</v>
      </c>
      <c r="T75" s="88">
        <v>5.75</v>
      </c>
      <c r="U75" s="28">
        <f t="shared" si="9"/>
        <v>38.78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62080</v>
      </c>
      <c r="C76" s="28">
        <v>4786.75</v>
      </c>
      <c r="D76" s="81">
        <v>0.05</v>
      </c>
      <c r="E76" s="82">
        <v>41.97</v>
      </c>
      <c r="F76" s="82">
        <v>0</v>
      </c>
      <c r="G76" s="82">
        <v>0</v>
      </c>
      <c r="H76" s="91">
        <f t="shared" si="6"/>
        <v>0</v>
      </c>
      <c r="I76" s="85"/>
      <c r="J76" s="85"/>
      <c r="K76" s="86">
        <f t="shared" si="7"/>
        <v>18575.170836311656</v>
      </c>
      <c r="L76" s="87" t="str">
        <f t="shared" si="8"/>
        <v/>
      </c>
      <c r="M76" s="88">
        <v>5.82</v>
      </c>
      <c r="N76" s="88">
        <v>4.87</v>
      </c>
      <c r="O76" s="88">
        <v>7.94</v>
      </c>
      <c r="P76" s="88">
        <v>0</v>
      </c>
      <c r="Q76" s="88">
        <v>6.33</v>
      </c>
      <c r="R76" s="88">
        <v>3.79</v>
      </c>
      <c r="S76" s="88">
        <v>5.0599999999999996</v>
      </c>
      <c r="T76" s="88">
        <v>5.59</v>
      </c>
      <c r="U76" s="28">
        <f t="shared" si="9"/>
        <v>39.400000000000006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65640</v>
      </c>
      <c r="C77" s="28">
        <v>7016.07</v>
      </c>
      <c r="D77" s="81">
        <v>0</v>
      </c>
      <c r="E77" s="82">
        <v>45.16</v>
      </c>
      <c r="F77" s="82">
        <v>0</v>
      </c>
      <c r="G77" s="82">
        <v>0</v>
      </c>
      <c r="H77" s="91">
        <f t="shared" si="6"/>
        <v>0</v>
      </c>
      <c r="I77" s="85"/>
      <c r="J77" s="85"/>
      <c r="K77" s="86">
        <f t="shared" si="7"/>
        <v>17784.459964570415</v>
      </c>
      <c r="L77" s="87" t="str">
        <f t="shared" si="8"/>
        <v/>
      </c>
      <c r="M77" s="88">
        <v>5.81</v>
      </c>
      <c r="N77" s="88">
        <v>5.15</v>
      </c>
      <c r="O77" s="88">
        <v>7.9</v>
      </c>
      <c r="P77" s="88">
        <v>0</v>
      </c>
      <c r="Q77" s="88">
        <v>6.35</v>
      </c>
      <c r="R77" s="88">
        <v>4.3099999999999996</v>
      </c>
      <c r="S77" s="88">
        <v>5.49</v>
      </c>
      <c r="T77" s="88">
        <v>5.58</v>
      </c>
      <c r="U77" s="28">
        <f t="shared" si="9"/>
        <v>40.589999999999996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71480</v>
      </c>
      <c r="C78" s="28">
        <v>5438.75</v>
      </c>
      <c r="D78" s="81">
        <v>0</v>
      </c>
      <c r="E78" s="82">
        <v>50.5</v>
      </c>
      <c r="F78" s="82">
        <v>0</v>
      </c>
      <c r="G78" s="82">
        <v>0</v>
      </c>
      <c r="H78" s="91">
        <f t="shared" si="6"/>
        <v>0</v>
      </c>
      <c r="I78" s="85"/>
      <c r="J78" s="85"/>
      <c r="K78" s="86">
        <f t="shared" si="7"/>
        <v>16879.511762376242</v>
      </c>
      <c r="L78" s="87" t="str">
        <f t="shared" si="8"/>
        <v/>
      </c>
      <c r="M78" s="88">
        <v>5.82</v>
      </c>
      <c r="N78" s="88">
        <v>6</v>
      </c>
      <c r="O78" s="88">
        <v>7.9</v>
      </c>
      <c r="P78" s="88">
        <v>0</v>
      </c>
      <c r="Q78" s="88">
        <v>6.34</v>
      </c>
      <c r="R78" s="88">
        <v>5.36</v>
      </c>
      <c r="S78" s="88">
        <v>6.06</v>
      </c>
      <c r="T78" s="88">
        <v>5.6</v>
      </c>
      <c r="U78" s="28">
        <f t="shared" si="9"/>
        <v>43.08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74960</v>
      </c>
      <c r="C79" s="28">
        <v>4558.0200000000004</v>
      </c>
      <c r="D79" s="81">
        <v>0.37</v>
      </c>
      <c r="E79" s="82">
        <v>54.46</v>
      </c>
      <c r="F79" s="82">
        <v>0</v>
      </c>
      <c r="G79" s="82">
        <v>0</v>
      </c>
      <c r="H79" s="91">
        <f t="shared" si="6"/>
        <v>0</v>
      </c>
      <c r="I79" s="85"/>
      <c r="J79" s="85"/>
      <c r="K79" s="86">
        <f t="shared" si="7"/>
        <v>15855.599559309587</v>
      </c>
      <c r="L79" s="87" t="str">
        <f t="shared" si="8"/>
        <v/>
      </c>
      <c r="M79" s="88">
        <v>5.82</v>
      </c>
      <c r="N79" s="88">
        <v>6.04</v>
      </c>
      <c r="O79" s="88">
        <v>7.93</v>
      </c>
      <c r="P79" s="88">
        <v>0</v>
      </c>
      <c r="Q79" s="88">
        <v>6.35</v>
      </c>
      <c r="R79" s="88">
        <v>5.9</v>
      </c>
      <c r="S79" s="88">
        <v>6.04</v>
      </c>
      <c r="T79" s="88">
        <v>5.56</v>
      </c>
      <c r="U79" s="28">
        <f t="shared" si="9"/>
        <v>43.64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77350</v>
      </c>
      <c r="C80" s="28">
        <v>652.91999999999996</v>
      </c>
      <c r="D80" s="81">
        <v>793.6</v>
      </c>
      <c r="E80" s="82">
        <v>56.24</v>
      </c>
      <c r="F80" s="82">
        <v>0</v>
      </c>
      <c r="G80" s="82">
        <v>0</v>
      </c>
      <c r="H80" s="91">
        <f t="shared" si="6"/>
        <v>0</v>
      </c>
      <c r="I80" s="85"/>
      <c r="J80" s="85"/>
      <c r="K80" s="86">
        <f t="shared" si="7"/>
        <v>15782.998719772406</v>
      </c>
      <c r="L80" s="87" t="str">
        <f t="shared" si="8"/>
        <v/>
      </c>
      <c r="M80" s="88">
        <v>5.8</v>
      </c>
      <c r="N80" s="88">
        <v>6.3</v>
      </c>
      <c r="O80" s="88">
        <v>8.3000000000000007</v>
      </c>
      <c r="P80" s="88">
        <v>0</v>
      </c>
      <c r="Q80" s="88">
        <v>6.35</v>
      </c>
      <c r="R80" s="88">
        <v>6.52</v>
      </c>
      <c r="S80" s="88">
        <v>6.06</v>
      </c>
      <c r="T80" s="88">
        <v>5.53</v>
      </c>
      <c r="U80" s="28">
        <f t="shared" si="9"/>
        <v>44.86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84370</v>
      </c>
      <c r="C81" s="28">
        <v>205.73</v>
      </c>
      <c r="D81" s="28">
        <v>976.17</v>
      </c>
      <c r="E81" s="96">
        <v>62.68</v>
      </c>
      <c r="F81" s="97">
        <v>0</v>
      </c>
      <c r="G81" s="82">
        <v>0</v>
      </c>
      <c r="H81" s="98">
        <f t="shared" si="6"/>
        <v>0</v>
      </c>
      <c r="I81" s="115"/>
      <c r="J81" s="85"/>
      <c r="K81" s="99">
        <f t="shared" si="7"/>
        <v>14780.120867900445</v>
      </c>
      <c r="L81" s="87" t="str">
        <f t="shared" si="8"/>
        <v/>
      </c>
      <c r="M81" s="92">
        <v>5.85</v>
      </c>
      <c r="N81" s="92">
        <v>6.11</v>
      </c>
      <c r="O81" s="92">
        <v>9.26</v>
      </c>
      <c r="P81" s="92">
        <v>0</v>
      </c>
      <c r="Q81" s="92">
        <v>6.25</v>
      </c>
      <c r="R81" s="92">
        <v>7.41</v>
      </c>
      <c r="S81" s="92">
        <v>6.02</v>
      </c>
      <c r="T81" s="92">
        <v>5.92</v>
      </c>
      <c r="U81" s="28">
        <f t="shared" si="9"/>
        <v>46.819999999999993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1">SUM(B58:B81)</f>
        <v>603610</v>
      </c>
      <c r="C82" s="35">
        <f t="shared" si="11"/>
        <v>53581.57</v>
      </c>
      <c r="D82" s="35">
        <f t="shared" si="11"/>
        <v>17499.219999999998</v>
      </c>
      <c r="E82" s="35">
        <f t="shared" si="11"/>
        <v>409.35</v>
      </c>
      <c r="F82" s="101">
        <f t="shared" si="11"/>
        <v>174026.35</v>
      </c>
      <c r="G82" s="35">
        <f t="shared" si="11"/>
        <v>0</v>
      </c>
      <c r="H82" s="102"/>
      <c r="I82" s="103"/>
      <c r="J82" s="104"/>
      <c r="K82" s="105">
        <f>IFERROR(AVERAGE(K58:K81),"")</f>
        <v>33823.565052075704</v>
      </c>
      <c r="L82" s="40">
        <f t="shared" ref="L82:U82" si="12">SUM(L58:L81)</f>
        <v>0</v>
      </c>
      <c r="M82" s="40">
        <f t="shared" si="12"/>
        <v>75.52</v>
      </c>
      <c r="N82" s="39">
        <f t="shared" si="12"/>
        <v>69.61</v>
      </c>
      <c r="O82" s="39">
        <f t="shared" si="12"/>
        <v>100.53</v>
      </c>
      <c r="P82" s="39">
        <f t="shared" si="12"/>
        <v>0</v>
      </c>
      <c r="Q82" s="39">
        <f t="shared" si="12"/>
        <v>80.439999999999984</v>
      </c>
      <c r="R82" s="39">
        <f t="shared" si="12"/>
        <v>59.259999999999991</v>
      </c>
      <c r="S82" s="39">
        <f t="shared" si="12"/>
        <v>80.460000000000008</v>
      </c>
      <c r="T82" s="39">
        <f t="shared" si="12"/>
        <v>67.59</v>
      </c>
      <c r="U82" s="118">
        <f t="shared" si="12"/>
        <v>533.40999999999985</v>
      </c>
      <c r="V82" s="39">
        <f>+SUM(V58:V81)</f>
        <v>0</v>
      </c>
      <c r="W82" s="39">
        <f>SUM(W58:W81)</f>
        <v>7433.5099999999984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7433.5099999999984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174026.35</v>
      </c>
      <c r="J87" s="41"/>
      <c r="K87" s="62" t="s">
        <v>59</v>
      </c>
      <c r="L87" s="113">
        <v>15455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0.41666666666666669</v>
      </c>
      <c r="B88" s="57">
        <v>0</v>
      </c>
      <c r="C88" s="57">
        <v>0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15224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>
        <f>IFERROR(3412.14/K82,"")</f>
        <v>0.10088055457035869</v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A1:C1"/>
    <mergeCell ref="D1:U2"/>
    <mergeCell ref="V1:X4"/>
    <mergeCell ref="A2:C2"/>
    <mergeCell ref="A3:C3"/>
    <mergeCell ref="D3:U4"/>
    <mergeCell ref="A4:C4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39:A40"/>
    <mergeCell ref="B39:B40"/>
    <mergeCell ref="C39:C40"/>
    <mergeCell ref="D39:D40"/>
    <mergeCell ref="H39:I40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H41:H42"/>
    <mergeCell ref="I41:I42"/>
    <mergeCell ref="K44:L44"/>
    <mergeCell ref="C45:I46"/>
    <mergeCell ref="K45:L45"/>
    <mergeCell ref="K46:L4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A85:A86"/>
    <mergeCell ref="B85:B86"/>
    <mergeCell ref="C85:C86"/>
    <mergeCell ref="D85:D86"/>
    <mergeCell ref="H85:I86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K90:L90"/>
    <mergeCell ref="B91:B92"/>
    <mergeCell ref="C91:I92"/>
    <mergeCell ref="K91:L91"/>
    <mergeCell ref="K92:L9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8F6F-85D6-4253-9CE8-7AFDB2C614EB}">
  <dimension ref="A1:Z109"/>
  <sheetViews>
    <sheetView topLeftCell="E56" zoomScale="85" zoomScaleNormal="85" workbookViewId="0">
      <selection activeCell="M72" sqref="M72:S73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23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86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0</v>
      </c>
      <c r="C12" s="28">
        <v>1352.5900000000001</v>
      </c>
      <c r="D12" s="28">
        <v>0</v>
      </c>
      <c r="E12" s="28">
        <v>0</v>
      </c>
      <c r="F12" s="28">
        <v>0</v>
      </c>
      <c r="G12" s="28">
        <v>0</v>
      </c>
      <c r="H12" s="28">
        <v>816.36</v>
      </c>
      <c r="I12" s="28">
        <v>766.44</v>
      </c>
      <c r="J12" s="112">
        <v>0</v>
      </c>
      <c r="K12" s="28">
        <f t="shared" ref="K12:K35" si="0">IF(J12=0,0,100*(G12-J12)/J12)</f>
        <v>0</v>
      </c>
      <c r="L12" s="28"/>
      <c r="M12" s="28"/>
      <c r="N12" s="28" t="str">
        <f t="shared" ref="N12:N35" si="1">IFERROR(V12*1000*2.2*$K$46/G12/1000,"")</f>
        <v/>
      </c>
      <c r="O12" s="28" t="str">
        <f t="shared" ref="O12:O35" si="2">IF(OR(K12&gt;5,K12&lt;-5),G12-J12,"")</f>
        <v/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f t="shared" ref="V12:V35" si="3">+SUM(P12:U12)</f>
        <v>0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0</v>
      </c>
      <c r="C13" s="28">
        <v>1398.73</v>
      </c>
      <c r="D13" s="28">
        <v>0</v>
      </c>
      <c r="E13" s="28">
        <v>0</v>
      </c>
      <c r="F13" s="28">
        <v>0</v>
      </c>
      <c r="G13" s="28">
        <v>0</v>
      </c>
      <c r="H13" s="28">
        <v>751.43</v>
      </c>
      <c r="I13" s="28">
        <v>701.37</v>
      </c>
      <c r="J13" s="112">
        <v>0</v>
      </c>
      <c r="K13" s="28">
        <f t="shared" si="0"/>
        <v>0</v>
      </c>
      <c r="L13" s="28"/>
      <c r="M13" s="28"/>
      <c r="N13" s="28" t="str">
        <f t="shared" si="1"/>
        <v/>
      </c>
      <c r="O13" s="28" t="str">
        <f t="shared" si="2"/>
        <v/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f t="shared" si="3"/>
        <v>0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0</v>
      </c>
      <c r="C14" s="28">
        <v>1435.53</v>
      </c>
      <c r="D14" s="28">
        <v>0</v>
      </c>
      <c r="E14" s="28">
        <v>0</v>
      </c>
      <c r="F14" s="28">
        <v>0</v>
      </c>
      <c r="G14" s="28">
        <v>0</v>
      </c>
      <c r="H14" s="28">
        <v>709.21</v>
      </c>
      <c r="I14" s="28">
        <v>662.38</v>
      </c>
      <c r="J14" s="112">
        <v>0</v>
      </c>
      <c r="K14" s="28">
        <f t="shared" si="0"/>
        <v>0</v>
      </c>
      <c r="L14" s="28"/>
      <c r="M14" s="28"/>
      <c r="N14" s="28" t="str">
        <f t="shared" si="1"/>
        <v/>
      </c>
      <c r="O14" s="28" t="str">
        <f t="shared" si="2"/>
        <v/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f t="shared" si="3"/>
        <v>0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0</v>
      </c>
      <c r="C15" s="28">
        <v>1410.58</v>
      </c>
      <c r="D15" s="28">
        <v>0</v>
      </c>
      <c r="E15" s="28">
        <v>0</v>
      </c>
      <c r="F15" s="28">
        <v>0</v>
      </c>
      <c r="G15" s="28">
        <v>0</v>
      </c>
      <c r="H15" s="28">
        <v>703.55</v>
      </c>
      <c r="I15" s="28">
        <v>661.38</v>
      </c>
      <c r="J15" s="112">
        <v>0</v>
      </c>
      <c r="K15" s="28">
        <f t="shared" si="0"/>
        <v>0</v>
      </c>
      <c r="L15" s="28"/>
      <c r="M15" s="28"/>
      <c r="N15" s="28" t="str">
        <f t="shared" si="1"/>
        <v/>
      </c>
      <c r="O15" s="28" t="str">
        <f t="shared" si="2"/>
        <v/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f t="shared" si="3"/>
        <v>0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0</v>
      </c>
      <c r="C16" s="28">
        <v>1407.88</v>
      </c>
      <c r="D16" s="28">
        <v>0</v>
      </c>
      <c r="E16" s="28">
        <v>0</v>
      </c>
      <c r="F16" s="28">
        <v>0</v>
      </c>
      <c r="G16" s="28">
        <v>0</v>
      </c>
      <c r="H16" s="28">
        <v>703.88</v>
      </c>
      <c r="I16" s="28">
        <v>659.61</v>
      </c>
      <c r="J16" s="112">
        <v>0</v>
      </c>
      <c r="K16" s="28">
        <f t="shared" si="0"/>
        <v>0</v>
      </c>
      <c r="L16" s="28"/>
      <c r="M16" s="28"/>
      <c r="N16" s="28" t="str">
        <f t="shared" si="1"/>
        <v/>
      </c>
      <c r="O16" s="28" t="str">
        <f t="shared" si="2"/>
        <v/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f t="shared" si="3"/>
        <v>0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0</v>
      </c>
      <c r="C17" s="28">
        <v>1430.19</v>
      </c>
      <c r="D17" s="28">
        <v>0</v>
      </c>
      <c r="E17" s="28">
        <v>0</v>
      </c>
      <c r="F17" s="28">
        <v>0</v>
      </c>
      <c r="G17" s="28">
        <v>0</v>
      </c>
      <c r="H17" s="28">
        <v>718.85</v>
      </c>
      <c r="I17" s="28">
        <v>674.16</v>
      </c>
      <c r="J17" s="112">
        <v>0</v>
      </c>
      <c r="K17" s="28">
        <f t="shared" si="0"/>
        <v>0</v>
      </c>
      <c r="L17" s="28"/>
      <c r="M17" s="28"/>
      <c r="N17" s="28" t="str">
        <f t="shared" si="1"/>
        <v/>
      </c>
      <c r="O17" s="28" t="str">
        <f t="shared" si="2"/>
        <v/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f t="shared" si="3"/>
        <v>0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0</v>
      </c>
      <c r="C18" s="28">
        <v>1409.44</v>
      </c>
      <c r="D18" s="28">
        <v>0</v>
      </c>
      <c r="E18" s="28">
        <v>0</v>
      </c>
      <c r="F18" s="28">
        <v>0</v>
      </c>
      <c r="G18" s="28">
        <v>0</v>
      </c>
      <c r="H18" s="28">
        <v>738.85</v>
      </c>
      <c r="I18" s="28">
        <v>696.6</v>
      </c>
      <c r="J18" s="112">
        <v>0</v>
      </c>
      <c r="K18" s="28">
        <f t="shared" si="0"/>
        <v>0</v>
      </c>
      <c r="L18" s="28"/>
      <c r="M18" s="28"/>
      <c r="N18" s="28" t="str">
        <f t="shared" si="1"/>
        <v/>
      </c>
      <c r="O18" s="28" t="str">
        <f t="shared" si="2"/>
        <v/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f t="shared" si="3"/>
        <v>0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0</v>
      </c>
      <c r="C19" s="28">
        <v>1437.82</v>
      </c>
      <c r="D19" s="28">
        <v>0</v>
      </c>
      <c r="E19" s="28">
        <v>0</v>
      </c>
      <c r="F19" s="28">
        <v>0</v>
      </c>
      <c r="G19" s="28">
        <v>0</v>
      </c>
      <c r="H19" s="28">
        <v>727.51</v>
      </c>
      <c r="I19" s="28">
        <v>688.06</v>
      </c>
      <c r="J19" s="112">
        <v>0</v>
      </c>
      <c r="K19" s="28">
        <f t="shared" si="0"/>
        <v>0</v>
      </c>
      <c r="L19" s="28"/>
      <c r="M19" s="28"/>
      <c r="N19" s="28" t="str">
        <f t="shared" si="1"/>
        <v/>
      </c>
      <c r="O19" s="28" t="str">
        <f t="shared" si="2"/>
        <v/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f t="shared" si="3"/>
        <v>0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0</v>
      </c>
      <c r="C20" s="28">
        <v>1388.47</v>
      </c>
      <c r="D20" s="28">
        <v>0</v>
      </c>
      <c r="E20" s="28">
        <v>0</v>
      </c>
      <c r="F20" s="28">
        <v>0</v>
      </c>
      <c r="G20" s="28">
        <v>0</v>
      </c>
      <c r="H20" s="28">
        <v>711.43</v>
      </c>
      <c r="I20" s="28">
        <v>678.76</v>
      </c>
      <c r="J20" s="112">
        <v>0</v>
      </c>
      <c r="K20" s="28">
        <f t="shared" si="0"/>
        <v>0</v>
      </c>
      <c r="L20" s="28"/>
      <c r="M20" s="28"/>
      <c r="N20" s="28" t="str">
        <f t="shared" si="1"/>
        <v/>
      </c>
      <c r="O20" s="28" t="str">
        <f t="shared" si="2"/>
        <v/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f t="shared" si="3"/>
        <v>0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0</v>
      </c>
      <c r="C21" s="28">
        <v>1324.34</v>
      </c>
      <c r="D21" s="28">
        <v>0</v>
      </c>
      <c r="E21" s="28">
        <v>0</v>
      </c>
      <c r="F21" s="28">
        <v>0</v>
      </c>
      <c r="G21" s="28">
        <v>0</v>
      </c>
      <c r="H21" s="28">
        <v>670.41</v>
      </c>
      <c r="I21" s="28">
        <v>638.15</v>
      </c>
      <c r="J21" s="112">
        <v>0</v>
      </c>
      <c r="K21" s="28">
        <f t="shared" si="0"/>
        <v>0</v>
      </c>
      <c r="L21" s="28"/>
      <c r="M21" s="28"/>
      <c r="N21" s="28" t="str">
        <f t="shared" si="1"/>
        <v/>
      </c>
      <c r="O21" s="28" t="str">
        <f t="shared" si="2"/>
        <v/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f t="shared" si="3"/>
        <v>0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0</v>
      </c>
      <c r="C22" s="28">
        <v>1321.69</v>
      </c>
      <c r="D22" s="28">
        <v>0</v>
      </c>
      <c r="E22" s="28">
        <v>0</v>
      </c>
      <c r="F22" s="28">
        <v>0</v>
      </c>
      <c r="G22" s="28">
        <v>0</v>
      </c>
      <c r="H22" s="28">
        <v>737.99</v>
      </c>
      <c r="I22" s="28">
        <v>708.63</v>
      </c>
      <c r="J22" s="112">
        <v>0</v>
      </c>
      <c r="K22" s="28">
        <f t="shared" si="0"/>
        <v>0</v>
      </c>
      <c r="L22" s="28"/>
      <c r="M22" s="28"/>
      <c r="N22" s="28" t="str">
        <f t="shared" si="1"/>
        <v/>
      </c>
      <c r="O22" s="28" t="str">
        <f t="shared" si="2"/>
        <v/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f t="shared" si="3"/>
        <v>0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0</v>
      </c>
      <c r="C23" s="28">
        <v>1272.82</v>
      </c>
      <c r="D23" s="28">
        <v>7.75</v>
      </c>
      <c r="E23" s="28">
        <v>0</v>
      </c>
      <c r="F23" s="28">
        <v>0</v>
      </c>
      <c r="G23" s="28">
        <v>0</v>
      </c>
      <c r="H23" s="28">
        <v>696.88</v>
      </c>
      <c r="I23" s="28">
        <v>669.35</v>
      </c>
      <c r="J23" s="112">
        <v>0</v>
      </c>
      <c r="K23" s="28">
        <f t="shared" si="0"/>
        <v>0</v>
      </c>
      <c r="L23" s="28"/>
      <c r="M23" s="28"/>
      <c r="N23" s="28" t="str">
        <f t="shared" si="1"/>
        <v/>
      </c>
      <c r="O23" s="28" t="str">
        <f t="shared" si="2"/>
        <v/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f t="shared" si="3"/>
        <v>0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0</v>
      </c>
      <c r="C24" s="28">
        <v>1183.6100000000001</v>
      </c>
      <c r="D24" s="28">
        <v>0</v>
      </c>
      <c r="E24" s="28">
        <v>0</v>
      </c>
      <c r="F24" s="28">
        <v>0</v>
      </c>
      <c r="G24" s="28">
        <v>0</v>
      </c>
      <c r="H24" s="28">
        <v>796.09</v>
      </c>
      <c r="I24" s="28">
        <v>763.94</v>
      </c>
      <c r="J24" s="112">
        <v>0</v>
      </c>
      <c r="K24" s="28">
        <f t="shared" si="0"/>
        <v>0</v>
      </c>
      <c r="L24" s="28"/>
      <c r="M24" s="28"/>
      <c r="N24" s="28" t="str">
        <f t="shared" si="1"/>
        <v/>
      </c>
      <c r="O24" s="28" t="str">
        <f t="shared" si="2"/>
        <v/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f t="shared" si="3"/>
        <v>0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0</v>
      </c>
      <c r="C25" s="28">
        <v>1214.79</v>
      </c>
      <c r="D25" s="28">
        <v>0</v>
      </c>
      <c r="E25" s="28">
        <v>0</v>
      </c>
      <c r="F25" s="28">
        <v>0</v>
      </c>
      <c r="G25" s="28">
        <v>0</v>
      </c>
      <c r="H25" s="28">
        <v>765.77</v>
      </c>
      <c r="I25" s="28">
        <v>733.19</v>
      </c>
      <c r="J25" s="112">
        <v>0</v>
      </c>
      <c r="K25" s="28">
        <f t="shared" si="0"/>
        <v>0</v>
      </c>
      <c r="L25" s="28"/>
      <c r="M25" s="28"/>
      <c r="N25" s="28" t="str">
        <f t="shared" si="1"/>
        <v/>
      </c>
      <c r="O25" s="28" t="str">
        <f t="shared" si="2"/>
        <v/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f t="shared" si="3"/>
        <v>0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0</v>
      </c>
      <c r="C26" s="28">
        <v>1177.8699999999999</v>
      </c>
      <c r="D26" s="28">
        <v>0</v>
      </c>
      <c r="E26" s="28">
        <v>0</v>
      </c>
      <c r="F26" s="28">
        <v>0</v>
      </c>
      <c r="G26" s="28">
        <v>0</v>
      </c>
      <c r="H26" s="28">
        <v>811.2</v>
      </c>
      <c r="I26" s="28">
        <v>778.39</v>
      </c>
      <c r="J26" s="112">
        <v>0</v>
      </c>
      <c r="K26" s="28">
        <f t="shared" si="0"/>
        <v>0</v>
      </c>
      <c r="L26" s="28"/>
      <c r="M26" s="28"/>
      <c r="N26" s="28" t="str">
        <f t="shared" si="1"/>
        <v/>
      </c>
      <c r="O26" s="28" t="str">
        <f t="shared" si="2"/>
        <v/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f t="shared" si="3"/>
        <v>0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0</v>
      </c>
      <c r="C27" s="28">
        <v>1107.5</v>
      </c>
      <c r="D27" s="28">
        <v>0</v>
      </c>
      <c r="E27" s="28">
        <v>0</v>
      </c>
      <c r="F27" s="28">
        <v>0</v>
      </c>
      <c r="G27" s="28">
        <v>0</v>
      </c>
      <c r="H27" s="28">
        <v>876.82</v>
      </c>
      <c r="I27" s="28">
        <v>839.71</v>
      </c>
      <c r="J27" s="112">
        <v>0</v>
      </c>
      <c r="K27" s="28">
        <f t="shared" si="0"/>
        <v>0</v>
      </c>
      <c r="L27" s="28"/>
      <c r="M27" s="28"/>
      <c r="N27" s="28" t="str">
        <f t="shared" si="1"/>
        <v/>
      </c>
      <c r="O27" s="28" t="str">
        <f t="shared" si="2"/>
        <v/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f t="shared" si="3"/>
        <v>0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0</v>
      </c>
      <c r="C28" s="28">
        <v>1410.4699999999998</v>
      </c>
      <c r="D28" s="28">
        <v>0</v>
      </c>
      <c r="E28" s="28">
        <v>0</v>
      </c>
      <c r="F28" s="28">
        <v>0</v>
      </c>
      <c r="G28" s="28">
        <v>0</v>
      </c>
      <c r="H28" s="28">
        <v>866.06</v>
      </c>
      <c r="I28" s="28">
        <v>821.77</v>
      </c>
      <c r="J28" s="112">
        <v>0</v>
      </c>
      <c r="K28" s="28">
        <f t="shared" si="0"/>
        <v>0</v>
      </c>
      <c r="L28" s="28"/>
      <c r="M28" s="28"/>
      <c r="N28" s="28" t="str">
        <f t="shared" si="1"/>
        <v/>
      </c>
      <c r="O28" s="28" t="str">
        <f t="shared" si="2"/>
        <v/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f t="shared" si="3"/>
        <v>0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0</v>
      </c>
      <c r="C29" s="28">
        <v>1715.81</v>
      </c>
      <c r="D29" s="28">
        <v>0</v>
      </c>
      <c r="E29" s="28">
        <v>0</v>
      </c>
      <c r="F29" s="28">
        <v>0</v>
      </c>
      <c r="G29" s="28">
        <v>0</v>
      </c>
      <c r="H29" s="28">
        <v>794.7</v>
      </c>
      <c r="I29" s="28">
        <v>751.16</v>
      </c>
      <c r="J29" s="112">
        <v>0</v>
      </c>
      <c r="K29" s="28">
        <f t="shared" si="0"/>
        <v>0</v>
      </c>
      <c r="L29" s="28"/>
      <c r="M29" s="28"/>
      <c r="N29" s="28" t="str">
        <f t="shared" si="1"/>
        <v/>
      </c>
      <c r="O29" s="28" t="str">
        <f t="shared" si="2"/>
        <v/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f t="shared" si="3"/>
        <v>0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0</v>
      </c>
      <c r="C30" s="28">
        <v>1264.71</v>
      </c>
      <c r="D30" s="28">
        <v>0</v>
      </c>
      <c r="E30" s="28">
        <v>0</v>
      </c>
      <c r="F30" s="28">
        <v>0</v>
      </c>
      <c r="G30" s="28">
        <v>0</v>
      </c>
      <c r="H30" s="28">
        <v>851.77</v>
      </c>
      <c r="I30" s="28">
        <v>807.54</v>
      </c>
      <c r="J30" s="112">
        <v>0</v>
      </c>
      <c r="K30" s="28">
        <f t="shared" si="0"/>
        <v>0</v>
      </c>
      <c r="L30" s="28"/>
      <c r="M30" s="28"/>
      <c r="N30" s="28" t="str">
        <f t="shared" si="1"/>
        <v/>
      </c>
      <c r="O30" s="28" t="str">
        <f t="shared" si="2"/>
        <v/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f t="shared" si="3"/>
        <v>0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0</v>
      </c>
      <c r="C31" s="28">
        <v>1285.19</v>
      </c>
      <c r="D31" s="28">
        <v>0</v>
      </c>
      <c r="E31" s="28">
        <v>0</v>
      </c>
      <c r="F31" s="28">
        <v>0</v>
      </c>
      <c r="G31" s="28">
        <v>0</v>
      </c>
      <c r="H31" s="28">
        <v>836.16</v>
      </c>
      <c r="I31" s="28">
        <v>792.02</v>
      </c>
      <c r="J31" s="112">
        <v>0</v>
      </c>
      <c r="K31" s="28">
        <f t="shared" si="0"/>
        <v>0</v>
      </c>
      <c r="L31" s="28"/>
      <c r="M31" s="28"/>
      <c r="N31" s="28" t="str">
        <f t="shared" si="1"/>
        <v/>
      </c>
      <c r="O31" s="28" t="str">
        <f t="shared" si="2"/>
        <v/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f t="shared" si="3"/>
        <v>0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0</v>
      </c>
      <c r="C32" s="28">
        <v>1301.96</v>
      </c>
      <c r="D32" s="28">
        <v>0</v>
      </c>
      <c r="E32" s="28">
        <v>0</v>
      </c>
      <c r="F32" s="28">
        <v>0</v>
      </c>
      <c r="G32" s="28">
        <v>0</v>
      </c>
      <c r="H32" s="28">
        <v>825.62</v>
      </c>
      <c r="I32" s="28">
        <v>780.81</v>
      </c>
      <c r="J32" s="112">
        <v>0</v>
      </c>
      <c r="K32" s="28">
        <f t="shared" si="0"/>
        <v>0</v>
      </c>
      <c r="L32" s="28"/>
      <c r="M32" s="28"/>
      <c r="N32" s="28" t="str">
        <f t="shared" si="1"/>
        <v/>
      </c>
      <c r="O32" s="28" t="str">
        <f t="shared" si="2"/>
        <v/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f t="shared" si="3"/>
        <v>0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0</v>
      </c>
      <c r="C33" s="28">
        <v>1305.5999999999999</v>
      </c>
      <c r="D33" s="28">
        <v>0</v>
      </c>
      <c r="E33" s="28">
        <v>0</v>
      </c>
      <c r="F33" s="28">
        <v>0</v>
      </c>
      <c r="G33" s="28">
        <v>0</v>
      </c>
      <c r="H33" s="28">
        <v>812.06</v>
      </c>
      <c r="I33" s="28">
        <v>772.2</v>
      </c>
      <c r="J33" s="112">
        <v>0</v>
      </c>
      <c r="K33" s="28">
        <f t="shared" si="0"/>
        <v>0</v>
      </c>
      <c r="L33" s="28"/>
      <c r="M33" s="28"/>
      <c r="N33" s="28" t="str">
        <f t="shared" si="1"/>
        <v/>
      </c>
      <c r="O33" s="28" t="str">
        <f t="shared" si="2"/>
        <v/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f t="shared" si="3"/>
        <v>0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0</v>
      </c>
      <c r="C34" s="28">
        <v>1304.31</v>
      </c>
      <c r="D34" s="28">
        <v>0</v>
      </c>
      <c r="E34" s="28">
        <v>0</v>
      </c>
      <c r="F34" s="28">
        <v>0</v>
      </c>
      <c r="G34" s="28">
        <v>0</v>
      </c>
      <c r="H34" s="28">
        <v>810.17</v>
      </c>
      <c r="I34" s="28">
        <v>777.03</v>
      </c>
      <c r="J34" s="112">
        <v>0</v>
      </c>
      <c r="K34" s="28">
        <f t="shared" si="0"/>
        <v>0</v>
      </c>
      <c r="L34" s="28"/>
      <c r="M34" s="28"/>
      <c r="N34" s="28" t="str">
        <f t="shared" si="1"/>
        <v/>
      </c>
      <c r="O34" s="28" t="str">
        <f t="shared" si="2"/>
        <v/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f t="shared" si="3"/>
        <v>0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0</v>
      </c>
      <c r="C35" s="28">
        <v>1291.33</v>
      </c>
      <c r="D35" s="28">
        <v>0</v>
      </c>
      <c r="E35" s="28">
        <v>0</v>
      </c>
      <c r="F35" s="28">
        <v>0</v>
      </c>
      <c r="G35" s="28">
        <v>0</v>
      </c>
      <c r="H35" s="28">
        <v>837.5</v>
      </c>
      <c r="I35" s="28">
        <v>823.35</v>
      </c>
      <c r="J35" s="112">
        <v>0</v>
      </c>
      <c r="K35" s="116">
        <f t="shared" si="0"/>
        <v>0</v>
      </c>
      <c r="L35" s="28"/>
      <c r="M35" s="28"/>
      <c r="N35" s="28" t="str">
        <f t="shared" si="1"/>
        <v/>
      </c>
      <c r="O35" s="28" t="str">
        <f t="shared" si="2"/>
        <v/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f t="shared" si="3"/>
        <v>0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0</v>
      </c>
      <c r="C36" s="35">
        <f t="shared" ref="C36:J36" si="4">SUM(C12:C35)</f>
        <v>32153.230000000003</v>
      </c>
      <c r="D36" s="35">
        <f t="shared" si="4"/>
        <v>7.75</v>
      </c>
      <c r="E36" s="35">
        <f t="shared" si="4"/>
        <v>0</v>
      </c>
      <c r="F36" s="35">
        <f t="shared" si="4"/>
        <v>0</v>
      </c>
      <c r="G36" s="35">
        <f t="shared" si="4"/>
        <v>0</v>
      </c>
      <c r="H36" s="35">
        <f t="shared" si="4"/>
        <v>18570.27</v>
      </c>
      <c r="I36" s="35">
        <f t="shared" si="4"/>
        <v>17646</v>
      </c>
      <c r="J36" s="35">
        <f t="shared" si="4"/>
        <v>0</v>
      </c>
      <c r="K36" s="36"/>
      <c r="L36" s="37"/>
      <c r="M36" s="38"/>
      <c r="N36" s="35" t="str">
        <f>IFERROR(AVERAGE(N12:N35),"")</f>
        <v/>
      </c>
      <c r="O36" s="39">
        <f t="shared" ref="O36:U36" si="5">SUM(O12:O35)</f>
        <v>0</v>
      </c>
      <c r="P36" s="39">
        <f t="shared" si="5"/>
        <v>0</v>
      </c>
      <c r="Q36" s="39">
        <f t="shared" si="5"/>
        <v>0</v>
      </c>
      <c r="R36" s="39">
        <f t="shared" si="5"/>
        <v>0</v>
      </c>
      <c r="S36" s="39">
        <f t="shared" si="5"/>
        <v>0</v>
      </c>
      <c r="T36" s="39">
        <f t="shared" si="5"/>
        <v>0</v>
      </c>
      <c r="U36" s="39">
        <f t="shared" si="5"/>
        <v>0</v>
      </c>
      <c r="V36" s="39">
        <f>SUM(V12:V35)</f>
        <v>0</v>
      </c>
      <c r="W36" s="40">
        <f>SUM(W12:W35)</f>
        <v>0</v>
      </c>
      <c r="X36" s="40"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X36</f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36216.270000000004</v>
      </c>
      <c r="J41" s="41"/>
      <c r="K41" s="13" t="s">
        <v>59</v>
      </c>
      <c r="L41" s="113">
        <v>24403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0</v>
      </c>
      <c r="B42" s="57">
        <v>0</v>
      </c>
      <c r="C42" s="57">
        <v>1</v>
      </c>
      <c r="D42" s="57">
        <v>0</v>
      </c>
      <c r="E42" s="58"/>
      <c r="F42" s="58"/>
      <c r="G42" s="41"/>
      <c r="H42" s="217"/>
      <c r="I42" s="219"/>
      <c r="J42" s="41"/>
      <c r="K42" s="59" t="s">
        <v>60</v>
      </c>
      <c r="L42" s="114">
        <v>8967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 t="str">
        <f>IFERROR(3412.14/N36,"")</f>
        <v/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23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Omar E. Fedullo Rueda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87490</v>
      </c>
      <c r="C58" s="28">
        <v>93.51</v>
      </c>
      <c r="D58" s="81">
        <v>757.93</v>
      </c>
      <c r="E58" s="82">
        <v>66.23</v>
      </c>
      <c r="F58" s="83">
        <v>0</v>
      </c>
      <c r="G58" s="82">
        <v>270</v>
      </c>
      <c r="H58" s="84">
        <f t="shared" ref="H58:H81" si="6">IF(G58=0,0,100*(E58-G58)/G58)</f>
        <v>-75.470370370370375</v>
      </c>
      <c r="I58" s="85"/>
      <c r="J58" s="85" t="s">
        <v>101</v>
      </c>
      <c r="K58" s="86">
        <f t="shared" ref="K58:K81" si="7">IFERROR(U58*1000*2.2*$K$92/E58/1000,"")</f>
        <v>14268.723659972822</v>
      </c>
      <c r="L58" s="87"/>
      <c r="M58" s="88">
        <v>5.78</v>
      </c>
      <c r="N58" s="88">
        <v>7.08</v>
      </c>
      <c r="O58" s="88">
        <v>10.24</v>
      </c>
      <c r="P58" s="88">
        <v>0</v>
      </c>
      <c r="Q58" s="88">
        <v>5.24</v>
      </c>
      <c r="R58" s="88">
        <v>7</v>
      </c>
      <c r="S58" s="88">
        <v>6.02</v>
      </c>
      <c r="T58" s="88">
        <v>6.4</v>
      </c>
      <c r="U58" s="28">
        <f>+SUM(M58:T58)</f>
        <v>47.76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88710</v>
      </c>
      <c r="C59" s="28">
        <v>3044.47</v>
      </c>
      <c r="D59" s="81">
        <v>536.65</v>
      </c>
      <c r="E59" s="82">
        <v>67.52</v>
      </c>
      <c r="F59" s="82">
        <v>0</v>
      </c>
      <c r="G59" s="82">
        <v>270</v>
      </c>
      <c r="H59" s="91">
        <f t="shared" si="6"/>
        <v>-74.992592592592587</v>
      </c>
      <c r="I59" s="85"/>
      <c r="J59" s="85" t="s">
        <v>101</v>
      </c>
      <c r="K59" s="86">
        <f t="shared" si="7"/>
        <v>14034.209893364932</v>
      </c>
      <c r="L59" s="87">
        <f t="shared" ref="L59:L81" si="8">IF(OR(H59&gt;5,H59&lt;-5),E59-G59,"")</f>
        <v>-202.48000000000002</v>
      </c>
      <c r="M59" s="88">
        <v>5.78</v>
      </c>
      <c r="N59" s="88">
        <v>7.03</v>
      </c>
      <c r="O59" s="88">
        <v>10.210000000000001</v>
      </c>
      <c r="P59" s="88">
        <v>0</v>
      </c>
      <c r="Q59" s="88">
        <v>5.25</v>
      </c>
      <c r="R59" s="88">
        <v>6.97</v>
      </c>
      <c r="S59" s="88">
        <v>6.04</v>
      </c>
      <c r="T59" s="88">
        <v>6.61</v>
      </c>
      <c r="U59" s="28">
        <f t="shared" ref="U59:U81" si="9">+SUM(M59:T59)</f>
        <v>47.89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88660</v>
      </c>
      <c r="C60" s="28">
        <v>6069.26</v>
      </c>
      <c r="D60" s="81">
        <v>0</v>
      </c>
      <c r="E60" s="82">
        <v>68.16</v>
      </c>
      <c r="F60" s="82">
        <v>0</v>
      </c>
      <c r="G60" s="82">
        <v>270</v>
      </c>
      <c r="H60" s="91">
        <f t="shared" si="6"/>
        <v>-74.75555555555556</v>
      </c>
      <c r="I60" s="85"/>
      <c r="J60" s="85" t="s">
        <v>101</v>
      </c>
      <c r="K60" s="86">
        <f t="shared" si="7"/>
        <v>14111.448767605632</v>
      </c>
      <c r="L60" s="87">
        <f t="shared" si="8"/>
        <v>-201.84</v>
      </c>
      <c r="M60" s="88">
        <v>5.77</v>
      </c>
      <c r="N60" s="88">
        <v>7.02</v>
      </c>
      <c r="O60" s="88">
        <v>10.62</v>
      </c>
      <c r="P60" s="88">
        <v>0</v>
      </c>
      <c r="Q60" s="88">
        <v>5.24</v>
      </c>
      <c r="R60" s="88">
        <v>6.97</v>
      </c>
      <c r="S60" s="88">
        <v>5.98</v>
      </c>
      <c r="T60" s="88">
        <v>7.01</v>
      </c>
      <c r="U60" s="28">
        <f t="shared" si="9"/>
        <v>48.609999999999992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89850</v>
      </c>
      <c r="C61" s="28">
        <v>5097.53</v>
      </c>
      <c r="D61" s="81">
        <v>0</v>
      </c>
      <c r="E61" s="82">
        <v>68.400000000000006</v>
      </c>
      <c r="F61" s="82">
        <v>0</v>
      </c>
      <c r="G61" s="82">
        <v>270</v>
      </c>
      <c r="H61" s="91">
        <f t="shared" si="6"/>
        <v>-74.666666666666671</v>
      </c>
      <c r="I61" s="85"/>
      <c r="J61" s="85" t="s">
        <v>101</v>
      </c>
      <c r="K61" s="86">
        <f t="shared" si="7"/>
        <v>14481.391929824562</v>
      </c>
      <c r="L61" s="87">
        <f t="shared" si="8"/>
        <v>-201.6</v>
      </c>
      <c r="M61" s="88">
        <v>5.78</v>
      </c>
      <c r="N61" s="88">
        <v>7</v>
      </c>
      <c r="O61" s="88">
        <v>11.06</v>
      </c>
      <c r="P61" s="88">
        <v>0</v>
      </c>
      <c r="Q61" s="88">
        <v>5.57</v>
      </c>
      <c r="R61" s="88">
        <v>6.97</v>
      </c>
      <c r="S61" s="88">
        <v>6.02</v>
      </c>
      <c r="T61" s="88">
        <v>7.66</v>
      </c>
      <c r="U61" s="28">
        <f t="shared" si="9"/>
        <v>50.06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94090</v>
      </c>
      <c r="C62" s="28">
        <v>4596.84</v>
      </c>
      <c r="D62" s="81">
        <v>0</v>
      </c>
      <c r="E62" s="82">
        <v>71.92</v>
      </c>
      <c r="F62" s="82">
        <v>0</v>
      </c>
      <c r="G62" s="82">
        <v>270</v>
      </c>
      <c r="H62" s="91">
        <f t="shared" si="6"/>
        <v>-73.362962962962968</v>
      </c>
      <c r="I62" s="85"/>
      <c r="J62" s="85" t="s">
        <v>101</v>
      </c>
      <c r="K62" s="86">
        <f t="shared" si="7"/>
        <v>14036.742714126807</v>
      </c>
      <c r="L62" s="87">
        <f t="shared" si="8"/>
        <v>-198.07999999999998</v>
      </c>
      <c r="M62" s="88">
        <v>5.82</v>
      </c>
      <c r="N62" s="88">
        <v>7.24</v>
      </c>
      <c r="O62" s="88">
        <v>11.29</v>
      </c>
      <c r="P62" s="88">
        <v>0</v>
      </c>
      <c r="Q62" s="88">
        <v>6.03</v>
      </c>
      <c r="R62" s="88">
        <v>6.98</v>
      </c>
      <c r="S62" s="88">
        <v>6.02</v>
      </c>
      <c r="T62" s="88">
        <v>7.64</v>
      </c>
      <c r="U62" s="28">
        <f t="shared" si="9"/>
        <v>51.019999999999996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96060</v>
      </c>
      <c r="C63" s="28">
        <v>4809.13</v>
      </c>
      <c r="D63" s="81">
        <v>0</v>
      </c>
      <c r="E63" s="82">
        <v>74.05</v>
      </c>
      <c r="F63" s="82">
        <v>0</v>
      </c>
      <c r="G63" s="82">
        <v>270</v>
      </c>
      <c r="H63" s="91">
        <f t="shared" si="6"/>
        <v>-72.574074074074076</v>
      </c>
      <c r="I63" s="85"/>
      <c r="J63" s="85" t="s">
        <v>101</v>
      </c>
      <c r="K63" s="86">
        <f t="shared" si="7"/>
        <v>13817.358919648888</v>
      </c>
      <c r="L63" s="87">
        <f t="shared" si="8"/>
        <v>-195.95</v>
      </c>
      <c r="M63" s="88">
        <v>5.77</v>
      </c>
      <c r="N63" s="88">
        <v>7.59</v>
      </c>
      <c r="O63" s="88">
        <v>11.32</v>
      </c>
      <c r="P63" s="88">
        <v>0</v>
      </c>
      <c r="Q63" s="88">
        <v>6.35</v>
      </c>
      <c r="R63" s="88">
        <v>6.97</v>
      </c>
      <c r="S63" s="88">
        <v>6.07</v>
      </c>
      <c r="T63" s="88">
        <v>7.64</v>
      </c>
      <c r="U63" s="28">
        <f t="shared" si="9"/>
        <v>51.71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95990</v>
      </c>
      <c r="C64" s="28">
        <v>4224</v>
      </c>
      <c r="D64" s="81">
        <v>0</v>
      </c>
      <c r="E64" s="82">
        <v>74.55</v>
      </c>
      <c r="F64" s="82">
        <v>0</v>
      </c>
      <c r="G64" s="82">
        <v>270</v>
      </c>
      <c r="H64" s="91">
        <f t="shared" si="6"/>
        <v>-72.388888888888886</v>
      </c>
      <c r="I64" s="85"/>
      <c r="J64" s="85" t="s">
        <v>101</v>
      </c>
      <c r="K64" s="86">
        <f t="shared" si="7"/>
        <v>13735.303822937629</v>
      </c>
      <c r="L64" s="87">
        <f t="shared" si="8"/>
        <v>-195.45</v>
      </c>
      <c r="M64" s="88">
        <v>5.79</v>
      </c>
      <c r="N64" s="88">
        <v>7.61</v>
      </c>
      <c r="O64" s="88">
        <v>11.27</v>
      </c>
      <c r="P64" s="88">
        <v>0</v>
      </c>
      <c r="Q64" s="88">
        <v>6.3</v>
      </c>
      <c r="R64" s="88">
        <v>6.98</v>
      </c>
      <c r="S64" s="88">
        <v>6.18</v>
      </c>
      <c r="T64" s="88">
        <v>7.62</v>
      </c>
      <c r="U64" s="28">
        <f t="shared" si="9"/>
        <v>51.75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97410</v>
      </c>
      <c r="C65" s="28">
        <v>4319.47</v>
      </c>
      <c r="D65" s="81">
        <v>0</v>
      </c>
      <c r="E65" s="82">
        <v>75.69</v>
      </c>
      <c r="F65" s="82">
        <v>0</v>
      </c>
      <c r="G65" s="82">
        <v>270</v>
      </c>
      <c r="H65" s="91">
        <f t="shared" si="6"/>
        <v>-71.966666666666669</v>
      </c>
      <c r="I65" s="85"/>
      <c r="J65" s="85" t="s">
        <v>101</v>
      </c>
      <c r="K65" s="86">
        <f t="shared" si="7"/>
        <v>13512.745303210466</v>
      </c>
      <c r="L65" s="87">
        <f t="shared" si="8"/>
        <v>-194.31</v>
      </c>
      <c r="M65" s="88">
        <v>5.79</v>
      </c>
      <c r="N65" s="88">
        <v>7.59</v>
      </c>
      <c r="O65" s="88">
        <v>11.25</v>
      </c>
      <c r="P65" s="88">
        <v>0</v>
      </c>
      <c r="Q65" s="88">
        <v>6.31</v>
      </c>
      <c r="R65" s="88">
        <v>7</v>
      </c>
      <c r="S65" s="88">
        <v>6.14</v>
      </c>
      <c r="T65" s="88">
        <v>7.61</v>
      </c>
      <c r="U65" s="28">
        <f t="shared" si="9"/>
        <v>51.69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99210</v>
      </c>
      <c r="C66" s="28">
        <v>3574.05</v>
      </c>
      <c r="D66" s="81">
        <v>0</v>
      </c>
      <c r="E66" s="82">
        <v>78</v>
      </c>
      <c r="F66" s="82">
        <v>0</v>
      </c>
      <c r="G66" s="82">
        <v>270</v>
      </c>
      <c r="H66" s="91">
        <f t="shared" si="6"/>
        <v>-71.111111111111114</v>
      </c>
      <c r="I66" s="85"/>
      <c r="J66" s="85" t="s">
        <v>101</v>
      </c>
      <c r="K66" s="86">
        <f t="shared" si="7"/>
        <v>13264.766307692309</v>
      </c>
      <c r="L66" s="87">
        <f t="shared" si="8"/>
        <v>-192</v>
      </c>
      <c r="M66" s="88">
        <v>5.81</v>
      </c>
      <c r="N66" s="88">
        <v>7.57</v>
      </c>
      <c r="O66" s="88">
        <v>11.55</v>
      </c>
      <c r="P66" s="88">
        <v>0</v>
      </c>
      <c r="Q66" s="88">
        <v>6.3</v>
      </c>
      <c r="R66" s="88">
        <v>6.95</v>
      </c>
      <c r="S66" s="88">
        <v>6.1</v>
      </c>
      <c r="T66" s="88">
        <v>8.01</v>
      </c>
      <c r="U66" s="28">
        <f t="shared" si="9"/>
        <v>52.29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100790</v>
      </c>
      <c r="C67" s="28">
        <v>1538.59</v>
      </c>
      <c r="D67" s="81">
        <v>27.54</v>
      </c>
      <c r="E67" s="82">
        <v>79.13</v>
      </c>
      <c r="F67" s="82">
        <v>0</v>
      </c>
      <c r="G67" s="82">
        <v>270</v>
      </c>
      <c r="H67" s="91">
        <f t="shared" si="6"/>
        <v>-70.69259259259259</v>
      </c>
      <c r="I67" s="85"/>
      <c r="J67" s="85" t="s">
        <v>101</v>
      </c>
      <c r="K67" s="86">
        <f t="shared" si="7"/>
        <v>13747.987665866296</v>
      </c>
      <c r="L67" s="87">
        <f t="shared" si="8"/>
        <v>-190.87</v>
      </c>
      <c r="M67" s="88">
        <v>5.82</v>
      </c>
      <c r="N67" s="88">
        <v>8.59</v>
      </c>
      <c r="O67" s="88">
        <v>11.85</v>
      </c>
      <c r="P67" s="88">
        <v>0</v>
      </c>
      <c r="Q67" s="88">
        <v>6.34</v>
      </c>
      <c r="R67" s="88">
        <v>6.94</v>
      </c>
      <c r="S67" s="88">
        <v>6.14</v>
      </c>
      <c r="T67" s="88">
        <v>9.3000000000000007</v>
      </c>
      <c r="U67" s="28">
        <f t="shared" si="9"/>
        <v>54.97999999999999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104820</v>
      </c>
      <c r="C68" s="28">
        <v>1875.48</v>
      </c>
      <c r="D68" s="81">
        <v>7.81</v>
      </c>
      <c r="E68" s="82">
        <v>82.49</v>
      </c>
      <c r="F68" s="82">
        <v>0</v>
      </c>
      <c r="G68" s="82">
        <v>270</v>
      </c>
      <c r="H68" s="91">
        <f t="shared" si="6"/>
        <v>-69.44814814814815</v>
      </c>
      <c r="I68" s="85"/>
      <c r="J68" s="85" t="s">
        <v>101</v>
      </c>
      <c r="K68" s="86">
        <f t="shared" si="7"/>
        <v>13447.060346708693</v>
      </c>
      <c r="L68" s="87">
        <f t="shared" si="8"/>
        <v>-187.51</v>
      </c>
      <c r="M68" s="88">
        <v>5.81</v>
      </c>
      <c r="N68" s="88">
        <v>8.68</v>
      </c>
      <c r="O68" s="88">
        <v>12.21</v>
      </c>
      <c r="P68" s="92">
        <v>0</v>
      </c>
      <c r="Q68" s="88">
        <v>6.35</v>
      </c>
      <c r="R68" s="88">
        <v>6.97</v>
      </c>
      <c r="S68" s="88">
        <v>6.03</v>
      </c>
      <c r="T68" s="88">
        <v>10.01</v>
      </c>
      <c r="U68" s="28">
        <f t="shared" si="9"/>
        <v>56.059999999999995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106900</v>
      </c>
      <c r="C69" s="28">
        <v>2527.64</v>
      </c>
      <c r="D69" s="81">
        <v>2.09</v>
      </c>
      <c r="E69" s="82">
        <v>84.74</v>
      </c>
      <c r="F69" s="82">
        <v>0</v>
      </c>
      <c r="G69" s="82">
        <v>270</v>
      </c>
      <c r="H69" s="91">
        <f t="shared" si="6"/>
        <v>-68.614814814814821</v>
      </c>
      <c r="I69" s="85"/>
      <c r="J69" s="85" t="s">
        <v>101</v>
      </c>
      <c r="K69" s="86">
        <f t="shared" si="7"/>
        <v>13038.646589568094</v>
      </c>
      <c r="L69" s="87">
        <f t="shared" si="8"/>
        <v>-185.26</v>
      </c>
      <c r="M69" s="88">
        <v>5.82</v>
      </c>
      <c r="N69" s="88">
        <v>8.6</v>
      </c>
      <c r="O69" s="88">
        <v>12.15</v>
      </c>
      <c r="P69" s="92">
        <v>0</v>
      </c>
      <c r="Q69" s="88">
        <v>6.33</v>
      </c>
      <c r="R69" s="88">
        <v>6.92</v>
      </c>
      <c r="S69" s="88">
        <v>6.02</v>
      </c>
      <c r="T69" s="88">
        <v>10</v>
      </c>
      <c r="U69" s="28">
        <f t="shared" si="9"/>
        <v>55.84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105940</v>
      </c>
      <c r="C70" s="28">
        <v>1062.6099999999999</v>
      </c>
      <c r="D70" s="81">
        <v>10.99</v>
      </c>
      <c r="E70" s="82">
        <v>84.93</v>
      </c>
      <c r="F70" s="82">
        <v>0</v>
      </c>
      <c r="G70" s="82">
        <v>270</v>
      </c>
      <c r="H70" s="91">
        <f t="shared" si="6"/>
        <v>-68.544444444444451</v>
      </c>
      <c r="I70" s="85"/>
      <c r="J70" s="85" t="s">
        <v>101</v>
      </c>
      <c r="K70" s="86">
        <f t="shared" si="7"/>
        <v>13102.668456375841</v>
      </c>
      <c r="L70" s="87">
        <f t="shared" si="8"/>
        <v>-185.07</v>
      </c>
      <c r="M70" s="88">
        <v>5.81</v>
      </c>
      <c r="N70" s="88">
        <v>8.67</v>
      </c>
      <c r="O70" s="88">
        <v>12.22</v>
      </c>
      <c r="P70" s="92">
        <v>0.17</v>
      </c>
      <c r="Q70" s="88">
        <v>6.34</v>
      </c>
      <c r="R70" s="88">
        <v>6.97</v>
      </c>
      <c r="S70" s="88">
        <v>6.01</v>
      </c>
      <c r="T70" s="88">
        <v>10.050000000000001</v>
      </c>
      <c r="U70" s="28">
        <f t="shared" si="9"/>
        <v>56.240000000000009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108970</v>
      </c>
      <c r="C71" s="28">
        <v>4897.6400000000003</v>
      </c>
      <c r="D71" s="81">
        <v>0</v>
      </c>
      <c r="E71" s="82">
        <v>86.96</v>
      </c>
      <c r="F71" s="82">
        <v>0</v>
      </c>
      <c r="G71" s="82">
        <v>270</v>
      </c>
      <c r="H71" s="91">
        <f t="shared" si="6"/>
        <v>-67.792592592592612</v>
      </c>
      <c r="I71" s="85"/>
      <c r="J71" s="85" t="s">
        <v>101</v>
      </c>
      <c r="K71" s="86">
        <f t="shared" si="7"/>
        <v>12719.435602575901</v>
      </c>
      <c r="L71" s="87">
        <f t="shared" si="8"/>
        <v>-183.04000000000002</v>
      </c>
      <c r="M71" s="88">
        <v>5.83</v>
      </c>
      <c r="N71" s="88">
        <v>8.6</v>
      </c>
      <c r="O71" s="88">
        <v>12.21</v>
      </c>
      <c r="P71" s="92">
        <v>0</v>
      </c>
      <c r="Q71" s="88">
        <v>6.34</v>
      </c>
      <c r="R71" s="88">
        <v>6.92</v>
      </c>
      <c r="S71" s="88">
        <v>5.98</v>
      </c>
      <c r="T71" s="88">
        <v>10.02</v>
      </c>
      <c r="U71" s="28">
        <f t="shared" si="9"/>
        <v>55.900000000000006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109600</v>
      </c>
      <c r="C72" s="28">
        <v>6616.24</v>
      </c>
      <c r="D72" s="81">
        <v>0</v>
      </c>
      <c r="E72" s="82">
        <v>87.48</v>
      </c>
      <c r="F72" s="82">
        <v>0</v>
      </c>
      <c r="G72" s="82">
        <v>270</v>
      </c>
      <c r="H72" s="91">
        <f t="shared" si="6"/>
        <v>-67.599999999999994</v>
      </c>
      <c r="I72" s="85"/>
      <c r="J72" s="85" t="s">
        <v>101</v>
      </c>
      <c r="K72" s="86">
        <f t="shared" si="7"/>
        <v>12677.756515775036</v>
      </c>
      <c r="L72" s="87">
        <f t="shared" si="8"/>
        <v>-182.51999999999998</v>
      </c>
      <c r="M72" s="88">
        <v>5.81</v>
      </c>
      <c r="N72" s="88">
        <v>8.64</v>
      </c>
      <c r="O72" s="88">
        <v>12.24</v>
      </c>
      <c r="P72" s="92">
        <v>0</v>
      </c>
      <c r="Q72" s="88">
        <v>6.31</v>
      </c>
      <c r="R72" s="88">
        <v>7.04</v>
      </c>
      <c r="S72" s="88">
        <v>5.97</v>
      </c>
      <c r="T72" s="88">
        <v>10.039999999999999</v>
      </c>
      <c r="U72" s="28">
        <f t="shared" si="9"/>
        <v>56.05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111430</v>
      </c>
      <c r="C73" s="28">
        <v>5295.32</v>
      </c>
      <c r="D73" s="81">
        <v>0</v>
      </c>
      <c r="E73" s="82">
        <v>89.1</v>
      </c>
      <c r="F73" s="82">
        <v>0</v>
      </c>
      <c r="G73" s="82">
        <v>270</v>
      </c>
      <c r="H73" s="91">
        <f t="shared" si="6"/>
        <v>-67</v>
      </c>
      <c r="I73" s="85"/>
      <c r="J73" s="85" t="s">
        <v>101</v>
      </c>
      <c r="K73" s="86">
        <f t="shared" si="7"/>
        <v>12589.379259259264</v>
      </c>
      <c r="L73" s="87">
        <f t="shared" si="8"/>
        <v>-180.9</v>
      </c>
      <c r="M73" s="88">
        <v>5.84</v>
      </c>
      <c r="N73" s="88">
        <v>8.7899999999999991</v>
      </c>
      <c r="O73" s="88">
        <v>12.42</v>
      </c>
      <c r="P73" s="88">
        <v>0</v>
      </c>
      <c r="Q73" s="88">
        <v>6.31</v>
      </c>
      <c r="R73" s="88">
        <v>6.98</v>
      </c>
      <c r="S73" s="88">
        <v>6.15</v>
      </c>
      <c r="T73" s="88">
        <v>10.199999999999999</v>
      </c>
      <c r="U73" s="28">
        <f t="shared" si="9"/>
        <v>56.69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116860</v>
      </c>
      <c r="C74" s="28">
        <v>2375.2399999999998</v>
      </c>
      <c r="D74" s="81">
        <v>129.07</v>
      </c>
      <c r="E74" s="82">
        <v>93.61</v>
      </c>
      <c r="F74" s="82">
        <v>0</v>
      </c>
      <c r="G74" s="82">
        <v>270</v>
      </c>
      <c r="H74" s="91">
        <f t="shared" si="6"/>
        <v>-65.329629629629636</v>
      </c>
      <c r="I74" s="85"/>
      <c r="J74" s="85" t="s">
        <v>101</v>
      </c>
      <c r="K74" s="86">
        <f t="shared" si="7"/>
        <v>12585.258754406581</v>
      </c>
      <c r="L74" s="87">
        <f t="shared" si="8"/>
        <v>-176.39</v>
      </c>
      <c r="M74" s="88">
        <v>5.81</v>
      </c>
      <c r="N74" s="88">
        <v>9.1</v>
      </c>
      <c r="O74" s="88">
        <v>13.25</v>
      </c>
      <c r="P74" s="88">
        <v>0</v>
      </c>
      <c r="Q74" s="88">
        <v>6.88</v>
      </c>
      <c r="R74" s="88">
        <v>6.97</v>
      </c>
      <c r="S74" s="88">
        <v>6.51</v>
      </c>
      <c r="T74" s="88">
        <v>11.02</v>
      </c>
      <c r="U74" s="28">
        <f t="shared" si="9"/>
        <v>59.539999999999992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120990</v>
      </c>
      <c r="C75" s="28">
        <v>0</v>
      </c>
      <c r="D75" s="81">
        <v>3116.2</v>
      </c>
      <c r="E75" s="82">
        <v>98.7</v>
      </c>
      <c r="F75" s="82">
        <v>0</v>
      </c>
      <c r="G75" s="82">
        <v>270</v>
      </c>
      <c r="H75" s="91">
        <f t="shared" si="6"/>
        <v>-63.444444444444443</v>
      </c>
      <c r="I75" s="85"/>
      <c r="J75" s="85" t="s">
        <v>101</v>
      </c>
      <c r="K75" s="86">
        <f t="shared" si="7"/>
        <v>11753.800243161097</v>
      </c>
      <c r="L75" s="87">
        <f t="shared" si="8"/>
        <v>-171.3</v>
      </c>
      <c r="M75" s="88">
        <v>5.83</v>
      </c>
      <c r="N75" s="88">
        <v>9.16</v>
      </c>
      <c r="O75" s="88">
        <v>12.81</v>
      </c>
      <c r="P75" s="88">
        <v>0</v>
      </c>
      <c r="Q75" s="88">
        <v>6.88</v>
      </c>
      <c r="R75" s="88">
        <v>6.99</v>
      </c>
      <c r="S75" s="88">
        <v>5.97</v>
      </c>
      <c r="T75" s="88">
        <v>10.99</v>
      </c>
      <c r="U75" s="28">
        <f t="shared" si="9"/>
        <v>58.63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116840</v>
      </c>
      <c r="C76" s="28">
        <v>326.36</v>
      </c>
      <c r="D76" s="81">
        <v>1494.19</v>
      </c>
      <c r="E76" s="82">
        <v>94.23</v>
      </c>
      <c r="F76" s="82">
        <v>0</v>
      </c>
      <c r="G76" s="82">
        <v>90</v>
      </c>
      <c r="H76" s="91">
        <f t="shared" si="6"/>
        <v>4.7000000000000046</v>
      </c>
      <c r="I76" s="85"/>
      <c r="J76" s="85" t="s">
        <v>101</v>
      </c>
      <c r="K76" s="86">
        <f t="shared" si="7"/>
        <v>12361.762878064312</v>
      </c>
      <c r="L76" s="87" t="str">
        <f t="shared" si="8"/>
        <v/>
      </c>
      <c r="M76" s="88">
        <v>5.68</v>
      </c>
      <c r="N76" s="88">
        <v>9.24</v>
      </c>
      <c r="O76" s="88">
        <v>12.86</v>
      </c>
      <c r="P76" s="88">
        <v>0</v>
      </c>
      <c r="Q76" s="88">
        <v>6.93</v>
      </c>
      <c r="R76" s="88">
        <v>7.01</v>
      </c>
      <c r="S76" s="88">
        <v>6.05</v>
      </c>
      <c r="T76" s="88">
        <v>11.1</v>
      </c>
      <c r="U76" s="28">
        <f t="shared" si="9"/>
        <v>58.87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119510</v>
      </c>
      <c r="C77" s="28">
        <v>431.43</v>
      </c>
      <c r="D77" s="81">
        <v>257.99</v>
      </c>
      <c r="E77" s="82">
        <v>96.44</v>
      </c>
      <c r="F77" s="82">
        <v>0</v>
      </c>
      <c r="G77" s="82">
        <v>90</v>
      </c>
      <c r="H77" s="91">
        <f t="shared" si="6"/>
        <v>7.1555555555555532</v>
      </c>
      <c r="I77" s="85"/>
      <c r="J77" s="85" t="s">
        <v>101</v>
      </c>
      <c r="K77" s="86">
        <f t="shared" si="7"/>
        <v>12423.172335130654</v>
      </c>
      <c r="L77" s="87">
        <f t="shared" si="8"/>
        <v>6.4399999999999977</v>
      </c>
      <c r="M77" s="88">
        <v>5.32</v>
      </c>
      <c r="N77" s="88">
        <v>9.61</v>
      </c>
      <c r="O77" s="88">
        <v>13.22</v>
      </c>
      <c r="P77" s="88">
        <v>0</v>
      </c>
      <c r="Q77" s="88">
        <v>7.42</v>
      </c>
      <c r="R77" s="88">
        <v>7.02</v>
      </c>
      <c r="S77" s="88">
        <v>6.48</v>
      </c>
      <c r="T77" s="88">
        <v>11.48</v>
      </c>
      <c r="U77" s="28">
        <f t="shared" si="9"/>
        <v>60.550000000000011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123280</v>
      </c>
      <c r="C78" s="28">
        <v>186.93</v>
      </c>
      <c r="D78" s="81">
        <v>743.43</v>
      </c>
      <c r="E78" s="82">
        <v>100.25</v>
      </c>
      <c r="F78" s="82">
        <v>0</v>
      </c>
      <c r="G78" s="82">
        <v>110</v>
      </c>
      <c r="H78" s="91">
        <f t="shared" si="6"/>
        <v>-8.8636363636363633</v>
      </c>
      <c r="I78" s="85"/>
      <c r="J78" s="85" t="s">
        <v>101</v>
      </c>
      <c r="K78" s="86">
        <f t="shared" si="7"/>
        <v>12243.144179551122</v>
      </c>
      <c r="L78" s="87">
        <f t="shared" si="8"/>
        <v>-9.75</v>
      </c>
      <c r="M78" s="88">
        <v>5.23</v>
      </c>
      <c r="N78" s="88">
        <v>10.029999999999999</v>
      </c>
      <c r="O78" s="88">
        <v>13.62</v>
      </c>
      <c r="P78" s="88">
        <v>0</v>
      </c>
      <c r="Q78" s="88">
        <v>7.64</v>
      </c>
      <c r="R78" s="88">
        <v>6.98</v>
      </c>
      <c r="S78" s="88">
        <v>6.79</v>
      </c>
      <c r="T78" s="88">
        <v>11.74</v>
      </c>
      <c r="U78" s="28">
        <f t="shared" si="9"/>
        <v>62.03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126940</v>
      </c>
      <c r="C79" s="28">
        <v>0.3</v>
      </c>
      <c r="D79" s="81">
        <v>1964.63</v>
      </c>
      <c r="E79" s="82">
        <v>103.72</v>
      </c>
      <c r="F79" s="82">
        <v>0</v>
      </c>
      <c r="G79" s="82">
        <v>110</v>
      </c>
      <c r="H79" s="91">
        <f t="shared" si="6"/>
        <v>-5.7090909090909099</v>
      </c>
      <c r="I79" s="85"/>
      <c r="J79" s="85" t="s">
        <v>101</v>
      </c>
      <c r="K79" s="86">
        <f t="shared" si="7"/>
        <v>12108.25487851909</v>
      </c>
      <c r="L79" s="87">
        <f t="shared" si="8"/>
        <v>-6.2800000000000011</v>
      </c>
      <c r="M79" s="88">
        <v>4.91</v>
      </c>
      <c r="N79" s="88">
        <v>10.52</v>
      </c>
      <c r="O79" s="88">
        <v>14.14</v>
      </c>
      <c r="P79" s="88">
        <v>0</v>
      </c>
      <c r="Q79" s="88">
        <v>7.97</v>
      </c>
      <c r="R79" s="88">
        <v>6.99</v>
      </c>
      <c r="S79" s="88">
        <v>6.97</v>
      </c>
      <c r="T79" s="88">
        <v>11.97</v>
      </c>
      <c r="U79" s="28">
        <f t="shared" si="9"/>
        <v>63.47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129000</v>
      </c>
      <c r="C80" s="28">
        <v>0</v>
      </c>
      <c r="D80" s="81">
        <v>3014.83</v>
      </c>
      <c r="E80" s="82">
        <v>106.26</v>
      </c>
      <c r="F80" s="82">
        <v>0</v>
      </c>
      <c r="G80" s="82">
        <v>110</v>
      </c>
      <c r="H80" s="91">
        <f t="shared" si="6"/>
        <v>-3.3999999999999955</v>
      </c>
      <c r="I80" s="85"/>
      <c r="J80" s="85" t="s">
        <v>101</v>
      </c>
      <c r="K80" s="86">
        <f t="shared" si="7"/>
        <v>11859.790062111801</v>
      </c>
      <c r="L80" s="87" t="str">
        <f t="shared" si="8"/>
        <v/>
      </c>
      <c r="M80" s="88">
        <v>4.49</v>
      </c>
      <c r="N80" s="88">
        <v>10.74</v>
      </c>
      <c r="O80" s="88">
        <v>14.34</v>
      </c>
      <c r="P80" s="88">
        <v>0</v>
      </c>
      <c r="Q80" s="88">
        <v>7.98</v>
      </c>
      <c r="R80" s="88">
        <v>7</v>
      </c>
      <c r="S80" s="88">
        <v>7.11</v>
      </c>
      <c r="T80" s="88">
        <v>12.03</v>
      </c>
      <c r="U80" s="28">
        <f t="shared" si="9"/>
        <v>63.69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129170</v>
      </c>
      <c r="C81" s="28">
        <v>0</v>
      </c>
      <c r="D81" s="28">
        <v>5045.8</v>
      </c>
      <c r="E81" s="96">
        <v>106.41</v>
      </c>
      <c r="F81" s="97">
        <v>0</v>
      </c>
      <c r="G81" s="82">
        <v>110</v>
      </c>
      <c r="H81" s="98">
        <f t="shared" si="6"/>
        <v>-3.2636363636363668</v>
      </c>
      <c r="I81" s="115"/>
      <c r="J81" s="85" t="s">
        <v>101</v>
      </c>
      <c r="K81" s="99">
        <f t="shared" si="7"/>
        <v>11839.353030730195</v>
      </c>
      <c r="L81" s="87" t="str">
        <f t="shared" si="8"/>
        <v/>
      </c>
      <c r="M81" s="92">
        <v>4.5</v>
      </c>
      <c r="N81" s="92">
        <v>10.75</v>
      </c>
      <c r="O81" s="92">
        <v>14.32</v>
      </c>
      <c r="P81" s="92">
        <v>0</v>
      </c>
      <c r="Q81" s="92">
        <v>7.97</v>
      </c>
      <c r="R81" s="92">
        <v>7</v>
      </c>
      <c r="S81" s="92">
        <v>7.09</v>
      </c>
      <c r="T81" s="92">
        <v>12.04</v>
      </c>
      <c r="U81" s="28">
        <f t="shared" si="9"/>
        <v>63.669999999999995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0">SUM(B58:B81)</f>
        <v>2568510</v>
      </c>
      <c r="C82" s="35">
        <f t="shared" si="10"/>
        <v>62962.04</v>
      </c>
      <c r="D82" s="35">
        <f t="shared" si="10"/>
        <v>17109.150000000001</v>
      </c>
      <c r="E82" s="35">
        <f t="shared" si="10"/>
        <v>2038.97</v>
      </c>
      <c r="F82" s="101">
        <f t="shared" si="10"/>
        <v>0</v>
      </c>
      <c r="G82" s="35">
        <f t="shared" si="10"/>
        <v>5480</v>
      </c>
      <c r="H82" s="102"/>
      <c r="I82" s="103"/>
      <c r="J82" s="104"/>
      <c r="K82" s="105">
        <f>IFERROR(AVERAGE(K58:K81),"")</f>
        <v>13073.340088174498</v>
      </c>
      <c r="L82" s="40">
        <f t="shared" ref="L82:U82" si="11">SUM(L58:L81)</f>
        <v>-3234.1600000000003</v>
      </c>
      <c r="M82" s="40">
        <f t="shared" si="11"/>
        <v>134.6</v>
      </c>
      <c r="N82" s="39">
        <f t="shared" si="11"/>
        <v>205.45</v>
      </c>
      <c r="O82" s="39">
        <f t="shared" si="11"/>
        <v>292.67</v>
      </c>
      <c r="P82" s="39">
        <f t="shared" si="11"/>
        <v>0.17</v>
      </c>
      <c r="Q82" s="39">
        <f t="shared" si="11"/>
        <v>156.57999999999998</v>
      </c>
      <c r="R82" s="39">
        <f t="shared" si="11"/>
        <v>167.49</v>
      </c>
      <c r="S82" s="39">
        <f t="shared" si="11"/>
        <v>149.84000000000003</v>
      </c>
      <c r="T82" s="39">
        <f t="shared" si="11"/>
        <v>228.19</v>
      </c>
      <c r="U82" s="118">
        <f t="shared" si="11"/>
        <v>1334.99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0</v>
      </c>
      <c r="J87" s="41"/>
      <c r="K87" s="62" t="s">
        <v>59</v>
      </c>
      <c r="L87" s="113">
        <v>20755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1</v>
      </c>
      <c r="B88" s="57">
        <v>0</v>
      </c>
      <c r="C88" s="57">
        <v>0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22559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>
        <f>IFERROR(3412.14/K82,"")</f>
        <v>0.26099986514436768</v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K90:L90"/>
    <mergeCell ref="B91:B92"/>
    <mergeCell ref="C91:I92"/>
    <mergeCell ref="K91:L91"/>
    <mergeCell ref="K92:L92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A85:A86"/>
    <mergeCell ref="B85:B86"/>
    <mergeCell ref="C85:C86"/>
    <mergeCell ref="D85:D86"/>
    <mergeCell ref="H85:I8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H41:H42"/>
    <mergeCell ref="I41:I42"/>
    <mergeCell ref="K44:L44"/>
    <mergeCell ref="C45:I46"/>
    <mergeCell ref="K45:L45"/>
    <mergeCell ref="K46:L46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A39:A40"/>
    <mergeCell ref="B39:B40"/>
    <mergeCell ref="C39:C40"/>
    <mergeCell ref="D39:D40"/>
    <mergeCell ref="H39:I40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1:C1"/>
    <mergeCell ref="D1:U2"/>
    <mergeCell ref="V1:X4"/>
    <mergeCell ref="A2:C2"/>
    <mergeCell ref="A3:C3"/>
    <mergeCell ref="D3:U4"/>
    <mergeCell ref="A4:C4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E987-C336-46DA-AF11-90EC2E147157}">
  <dimension ref="A1:Z109"/>
  <sheetViews>
    <sheetView topLeftCell="F48" zoomScale="85" zoomScaleNormal="85" workbookViewId="0">
      <selection activeCell="U82" sqref="U82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24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86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0</v>
      </c>
      <c r="C12" s="28">
        <v>1283.54</v>
      </c>
      <c r="D12" s="28">
        <v>0</v>
      </c>
      <c r="E12" s="28">
        <v>0</v>
      </c>
      <c r="F12" s="28">
        <v>0</v>
      </c>
      <c r="G12" s="28">
        <v>0</v>
      </c>
      <c r="H12" s="28">
        <v>858.63</v>
      </c>
      <c r="I12" s="28">
        <v>827.27</v>
      </c>
      <c r="J12" s="112">
        <v>0</v>
      </c>
      <c r="K12" s="28">
        <f t="shared" ref="K12:K35" si="0">IF(J12=0,0,100*(G12-J12)/J12)</f>
        <v>0</v>
      </c>
      <c r="L12" s="28"/>
      <c r="M12" s="28"/>
      <c r="N12" s="28" t="str">
        <f t="shared" ref="N12:N35" si="1">IFERROR(V12*1000*2.2*$K$46/G12/1000,"")</f>
        <v/>
      </c>
      <c r="O12" s="28" t="str">
        <f t="shared" ref="O12:O35" si="2">IF(OR(K12&gt;5,K12&lt;-5),G12-J12,"")</f>
        <v/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f t="shared" ref="V12:V35" si="3">+SUM(P12:U12)</f>
        <v>0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0</v>
      </c>
      <c r="C13" s="28">
        <v>1282.31</v>
      </c>
      <c r="D13" s="28">
        <v>0</v>
      </c>
      <c r="E13" s="28">
        <v>0</v>
      </c>
      <c r="F13" s="28">
        <v>0</v>
      </c>
      <c r="G13" s="28">
        <v>0</v>
      </c>
      <c r="H13" s="28">
        <v>854.13</v>
      </c>
      <c r="I13" s="28">
        <v>820.08</v>
      </c>
      <c r="J13" s="112">
        <v>0</v>
      </c>
      <c r="K13" s="28">
        <f t="shared" si="0"/>
        <v>0</v>
      </c>
      <c r="L13" s="28"/>
      <c r="M13" s="28"/>
      <c r="N13" s="28" t="str">
        <f t="shared" si="1"/>
        <v/>
      </c>
      <c r="O13" s="28" t="str">
        <f t="shared" si="2"/>
        <v/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f t="shared" si="3"/>
        <v>0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0</v>
      </c>
      <c r="C14" s="28">
        <v>1278.8800000000001</v>
      </c>
      <c r="D14" s="28">
        <v>0</v>
      </c>
      <c r="E14" s="28">
        <v>0</v>
      </c>
      <c r="F14" s="28">
        <v>0</v>
      </c>
      <c r="G14" s="28">
        <v>0</v>
      </c>
      <c r="H14" s="28">
        <v>857.97</v>
      </c>
      <c r="I14" s="28">
        <v>823.49</v>
      </c>
      <c r="J14" s="112">
        <v>0</v>
      </c>
      <c r="K14" s="28">
        <f t="shared" si="0"/>
        <v>0</v>
      </c>
      <c r="L14" s="28"/>
      <c r="M14" s="28"/>
      <c r="N14" s="28" t="str">
        <f t="shared" si="1"/>
        <v/>
      </c>
      <c r="O14" s="28" t="str">
        <f t="shared" si="2"/>
        <v/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f t="shared" si="3"/>
        <v>0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0</v>
      </c>
      <c r="C15" s="28">
        <v>1290.28</v>
      </c>
      <c r="D15" s="28">
        <v>0</v>
      </c>
      <c r="E15" s="28">
        <v>0</v>
      </c>
      <c r="F15" s="28">
        <v>0</v>
      </c>
      <c r="G15" s="28">
        <v>0</v>
      </c>
      <c r="H15" s="28">
        <v>847.26</v>
      </c>
      <c r="I15" s="28">
        <v>815.19</v>
      </c>
      <c r="J15" s="112">
        <v>0</v>
      </c>
      <c r="K15" s="28">
        <f t="shared" si="0"/>
        <v>0</v>
      </c>
      <c r="L15" s="28"/>
      <c r="M15" s="28"/>
      <c r="N15" s="28" t="str">
        <f t="shared" si="1"/>
        <v/>
      </c>
      <c r="O15" s="28" t="str">
        <f t="shared" si="2"/>
        <v/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f t="shared" si="3"/>
        <v>0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0</v>
      </c>
      <c r="C16" s="28">
        <v>1280.32</v>
      </c>
      <c r="D16" s="28">
        <v>0</v>
      </c>
      <c r="E16" s="28">
        <v>0</v>
      </c>
      <c r="F16" s="28">
        <v>0</v>
      </c>
      <c r="G16" s="28">
        <v>0</v>
      </c>
      <c r="H16" s="28">
        <v>850.78</v>
      </c>
      <c r="I16" s="28">
        <v>820.05</v>
      </c>
      <c r="J16" s="112">
        <v>0</v>
      </c>
      <c r="K16" s="28">
        <f t="shared" si="0"/>
        <v>0</v>
      </c>
      <c r="L16" s="28"/>
      <c r="M16" s="28"/>
      <c r="N16" s="28" t="str">
        <f t="shared" si="1"/>
        <v/>
      </c>
      <c r="O16" s="28" t="str">
        <f t="shared" si="2"/>
        <v/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f t="shared" si="3"/>
        <v>0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0</v>
      </c>
      <c r="C17" s="28">
        <v>1282.79</v>
      </c>
      <c r="D17" s="28">
        <v>0</v>
      </c>
      <c r="E17" s="28">
        <v>0</v>
      </c>
      <c r="F17" s="28">
        <v>0</v>
      </c>
      <c r="G17" s="28">
        <v>0</v>
      </c>
      <c r="H17" s="28">
        <v>867.21</v>
      </c>
      <c r="I17" s="28">
        <v>838.04</v>
      </c>
      <c r="J17" s="112">
        <v>0</v>
      </c>
      <c r="K17" s="28">
        <f t="shared" si="0"/>
        <v>0</v>
      </c>
      <c r="L17" s="28"/>
      <c r="M17" s="28"/>
      <c r="N17" s="28" t="str">
        <f t="shared" si="1"/>
        <v/>
      </c>
      <c r="O17" s="28" t="str">
        <f t="shared" si="2"/>
        <v/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f t="shared" si="3"/>
        <v>0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0</v>
      </c>
      <c r="C18" s="28">
        <v>1309.7</v>
      </c>
      <c r="D18" s="28">
        <v>0</v>
      </c>
      <c r="E18" s="28">
        <v>0</v>
      </c>
      <c r="F18" s="28">
        <v>0</v>
      </c>
      <c r="G18" s="28">
        <v>0</v>
      </c>
      <c r="H18" s="28">
        <v>870.03</v>
      </c>
      <c r="I18" s="28">
        <v>844.67</v>
      </c>
      <c r="J18" s="112">
        <v>0</v>
      </c>
      <c r="K18" s="28">
        <f t="shared" si="0"/>
        <v>0</v>
      </c>
      <c r="L18" s="28"/>
      <c r="M18" s="28"/>
      <c r="N18" s="28" t="str">
        <f t="shared" si="1"/>
        <v/>
      </c>
      <c r="O18" s="28" t="str">
        <f t="shared" si="2"/>
        <v/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f t="shared" si="3"/>
        <v>0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0</v>
      </c>
      <c r="C19" s="28">
        <v>1302.19</v>
      </c>
      <c r="D19" s="28">
        <v>0</v>
      </c>
      <c r="E19" s="28">
        <v>0</v>
      </c>
      <c r="F19" s="28">
        <v>0</v>
      </c>
      <c r="G19" s="28">
        <v>0</v>
      </c>
      <c r="H19" s="28">
        <v>859.43</v>
      </c>
      <c r="I19" s="28">
        <v>843.29</v>
      </c>
      <c r="J19" s="112">
        <v>0</v>
      </c>
      <c r="K19" s="28">
        <f t="shared" si="0"/>
        <v>0</v>
      </c>
      <c r="L19" s="28"/>
      <c r="M19" s="28"/>
      <c r="N19" s="28" t="str">
        <f t="shared" si="1"/>
        <v/>
      </c>
      <c r="O19" s="28" t="str">
        <f t="shared" si="2"/>
        <v/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f t="shared" si="3"/>
        <v>0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0</v>
      </c>
      <c r="C20" s="28">
        <v>1278.3899999999999</v>
      </c>
      <c r="D20" s="28">
        <v>0</v>
      </c>
      <c r="E20" s="28">
        <v>0</v>
      </c>
      <c r="F20" s="28">
        <v>0</v>
      </c>
      <c r="G20" s="28">
        <v>0</v>
      </c>
      <c r="H20" s="28">
        <v>959.78</v>
      </c>
      <c r="I20" s="28">
        <v>951.22</v>
      </c>
      <c r="J20" s="112">
        <v>0</v>
      </c>
      <c r="K20" s="28">
        <f t="shared" si="0"/>
        <v>0</v>
      </c>
      <c r="L20" s="28"/>
      <c r="M20" s="28"/>
      <c r="N20" s="28" t="str">
        <f t="shared" si="1"/>
        <v/>
      </c>
      <c r="O20" s="28" t="str">
        <f t="shared" si="2"/>
        <v/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f t="shared" si="3"/>
        <v>0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0</v>
      </c>
      <c r="C21" s="28">
        <v>1292.74</v>
      </c>
      <c r="D21" s="28">
        <v>0</v>
      </c>
      <c r="E21" s="28">
        <v>0</v>
      </c>
      <c r="F21" s="28">
        <v>0</v>
      </c>
      <c r="G21" s="28">
        <v>0</v>
      </c>
      <c r="H21" s="28">
        <v>911.57</v>
      </c>
      <c r="I21" s="28">
        <v>902.43</v>
      </c>
      <c r="J21" s="112">
        <v>0</v>
      </c>
      <c r="K21" s="28">
        <f t="shared" si="0"/>
        <v>0</v>
      </c>
      <c r="L21" s="28"/>
      <c r="M21" s="28"/>
      <c r="N21" s="28" t="str">
        <f t="shared" si="1"/>
        <v/>
      </c>
      <c r="O21" s="28" t="str">
        <f t="shared" si="2"/>
        <v/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f t="shared" si="3"/>
        <v>0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0</v>
      </c>
      <c r="C22" s="28">
        <v>1261.28</v>
      </c>
      <c r="D22" s="28">
        <v>0</v>
      </c>
      <c r="E22" s="28">
        <v>0</v>
      </c>
      <c r="F22" s="28">
        <v>0</v>
      </c>
      <c r="G22" s="28">
        <v>0</v>
      </c>
      <c r="H22" s="28">
        <v>899.84</v>
      </c>
      <c r="I22" s="28">
        <v>880.21</v>
      </c>
      <c r="J22" s="112">
        <v>0</v>
      </c>
      <c r="K22" s="28">
        <f t="shared" si="0"/>
        <v>0</v>
      </c>
      <c r="L22" s="28"/>
      <c r="M22" s="28"/>
      <c r="N22" s="28" t="str">
        <f t="shared" si="1"/>
        <v/>
      </c>
      <c r="O22" s="28" t="str">
        <f t="shared" si="2"/>
        <v/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f t="shared" si="3"/>
        <v>0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0</v>
      </c>
      <c r="C23" s="28">
        <v>1427.4099999999999</v>
      </c>
      <c r="D23" s="28">
        <v>0</v>
      </c>
      <c r="E23" s="28">
        <v>0</v>
      </c>
      <c r="F23" s="28">
        <v>0</v>
      </c>
      <c r="G23" s="28">
        <v>0</v>
      </c>
      <c r="H23" s="28">
        <v>918.99</v>
      </c>
      <c r="I23" s="28">
        <v>903.59</v>
      </c>
      <c r="J23" s="112">
        <v>0</v>
      </c>
      <c r="K23" s="28">
        <f t="shared" si="0"/>
        <v>0</v>
      </c>
      <c r="L23" s="28"/>
      <c r="M23" s="28"/>
      <c r="N23" s="28" t="str">
        <f t="shared" si="1"/>
        <v/>
      </c>
      <c r="O23" s="28" t="str">
        <f t="shared" si="2"/>
        <v/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f t="shared" si="3"/>
        <v>0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0</v>
      </c>
      <c r="C24" s="28">
        <v>1090.56</v>
      </c>
      <c r="D24" s="28">
        <v>0</v>
      </c>
      <c r="E24" s="28">
        <v>0</v>
      </c>
      <c r="F24" s="28">
        <v>0</v>
      </c>
      <c r="G24" s="28">
        <v>0</v>
      </c>
      <c r="H24" s="28">
        <v>935.6</v>
      </c>
      <c r="I24" s="28">
        <v>912.15</v>
      </c>
      <c r="J24" s="112">
        <v>0</v>
      </c>
      <c r="K24" s="28">
        <f t="shared" si="0"/>
        <v>0</v>
      </c>
      <c r="L24" s="28"/>
      <c r="M24" s="28"/>
      <c r="N24" s="28" t="str">
        <f t="shared" si="1"/>
        <v/>
      </c>
      <c r="O24" s="28" t="str">
        <f t="shared" si="2"/>
        <v/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f t="shared" si="3"/>
        <v>0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0</v>
      </c>
      <c r="C25" s="28">
        <v>1185.75</v>
      </c>
      <c r="D25" s="28">
        <v>0</v>
      </c>
      <c r="E25" s="28">
        <v>0</v>
      </c>
      <c r="F25" s="28">
        <v>0</v>
      </c>
      <c r="G25" s="28">
        <v>0</v>
      </c>
      <c r="H25" s="28">
        <v>932.4</v>
      </c>
      <c r="I25" s="28">
        <v>904.37</v>
      </c>
      <c r="J25" s="112">
        <v>0</v>
      </c>
      <c r="K25" s="28">
        <f t="shared" si="0"/>
        <v>0</v>
      </c>
      <c r="L25" s="28"/>
      <c r="M25" s="28"/>
      <c r="N25" s="28" t="str">
        <f t="shared" si="1"/>
        <v/>
      </c>
      <c r="O25" s="28" t="str">
        <f t="shared" si="2"/>
        <v/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f t="shared" si="3"/>
        <v>0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0</v>
      </c>
      <c r="C26" s="28">
        <v>1635.75</v>
      </c>
      <c r="D26" s="28">
        <v>0</v>
      </c>
      <c r="E26" s="28">
        <v>0</v>
      </c>
      <c r="F26" s="28">
        <v>0</v>
      </c>
      <c r="G26" s="28">
        <v>0</v>
      </c>
      <c r="H26" s="28">
        <v>942.92</v>
      </c>
      <c r="I26" s="28">
        <v>916.41</v>
      </c>
      <c r="J26" s="112">
        <v>0</v>
      </c>
      <c r="K26" s="28">
        <f t="shared" si="0"/>
        <v>0</v>
      </c>
      <c r="L26" s="28"/>
      <c r="M26" s="28"/>
      <c r="N26" s="28" t="str">
        <f t="shared" si="1"/>
        <v/>
      </c>
      <c r="O26" s="28" t="str">
        <f t="shared" si="2"/>
        <v/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f t="shared" si="3"/>
        <v>0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0</v>
      </c>
      <c r="C27" s="28">
        <v>1699.92</v>
      </c>
      <c r="D27" s="28">
        <v>0</v>
      </c>
      <c r="E27" s="28">
        <v>0</v>
      </c>
      <c r="F27" s="28">
        <v>0</v>
      </c>
      <c r="G27" s="28">
        <v>0</v>
      </c>
      <c r="H27" s="28">
        <v>957.19</v>
      </c>
      <c r="I27" s="28">
        <v>929.76</v>
      </c>
      <c r="J27" s="112">
        <v>0</v>
      </c>
      <c r="K27" s="28">
        <f t="shared" si="0"/>
        <v>0</v>
      </c>
      <c r="L27" s="28"/>
      <c r="M27" s="28"/>
      <c r="N27" s="28" t="str">
        <f t="shared" si="1"/>
        <v/>
      </c>
      <c r="O27" s="28" t="str">
        <f t="shared" si="2"/>
        <v/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f t="shared" si="3"/>
        <v>0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0</v>
      </c>
      <c r="C28" s="28">
        <v>1872.28</v>
      </c>
      <c r="D28" s="28">
        <v>0</v>
      </c>
      <c r="E28" s="28">
        <v>0</v>
      </c>
      <c r="F28" s="28">
        <v>0</v>
      </c>
      <c r="G28" s="28">
        <v>0</v>
      </c>
      <c r="H28" s="28">
        <v>872.34</v>
      </c>
      <c r="I28" s="28">
        <v>845.48</v>
      </c>
      <c r="J28" s="112">
        <v>0</v>
      </c>
      <c r="K28" s="28">
        <f t="shared" si="0"/>
        <v>0</v>
      </c>
      <c r="L28" s="28"/>
      <c r="M28" s="28"/>
      <c r="N28" s="28" t="str">
        <f t="shared" si="1"/>
        <v/>
      </c>
      <c r="O28" s="28" t="str">
        <f t="shared" si="2"/>
        <v/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f t="shared" si="3"/>
        <v>0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0</v>
      </c>
      <c r="C29" s="28">
        <v>1837.27</v>
      </c>
      <c r="D29" s="28">
        <v>0</v>
      </c>
      <c r="E29" s="28">
        <v>0</v>
      </c>
      <c r="F29" s="28">
        <v>0</v>
      </c>
      <c r="G29" s="28">
        <v>0</v>
      </c>
      <c r="H29" s="28">
        <v>831.79</v>
      </c>
      <c r="I29" s="28">
        <v>803.94</v>
      </c>
      <c r="J29" s="112">
        <v>0</v>
      </c>
      <c r="K29" s="28">
        <f t="shared" si="0"/>
        <v>0</v>
      </c>
      <c r="L29" s="28"/>
      <c r="M29" s="28"/>
      <c r="N29" s="28" t="str">
        <f t="shared" si="1"/>
        <v/>
      </c>
      <c r="O29" s="28" t="str">
        <f t="shared" si="2"/>
        <v/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f t="shared" si="3"/>
        <v>0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0</v>
      </c>
      <c r="C30" s="28">
        <v>1864.93</v>
      </c>
      <c r="D30" s="28">
        <v>0</v>
      </c>
      <c r="E30" s="28">
        <v>0</v>
      </c>
      <c r="F30" s="28">
        <v>0</v>
      </c>
      <c r="G30" s="28">
        <v>0</v>
      </c>
      <c r="H30" s="28">
        <v>826.05</v>
      </c>
      <c r="I30" s="28">
        <v>796.6</v>
      </c>
      <c r="J30" s="112">
        <v>0</v>
      </c>
      <c r="K30" s="28">
        <f t="shared" si="0"/>
        <v>0</v>
      </c>
      <c r="L30" s="28"/>
      <c r="M30" s="28"/>
      <c r="N30" s="28" t="str">
        <f t="shared" si="1"/>
        <v/>
      </c>
      <c r="O30" s="28" t="str">
        <f t="shared" si="2"/>
        <v/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f t="shared" si="3"/>
        <v>0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0</v>
      </c>
      <c r="C31" s="28">
        <v>1853.6100000000001</v>
      </c>
      <c r="D31" s="28">
        <v>0</v>
      </c>
      <c r="E31" s="28">
        <v>0</v>
      </c>
      <c r="F31" s="28">
        <v>0</v>
      </c>
      <c r="G31" s="28">
        <v>0</v>
      </c>
      <c r="H31" s="28">
        <v>824.41</v>
      </c>
      <c r="I31" s="28">
        <v>797.66</v>
      </c>
      <c r="J31" s="112">
        <v>0</v>
      </c>
      <c r="K31" s="28">
        <f t="shared" si="0"/>
        <v>0</v>
      </c>
      <c r="L31" s="28"/>
      <c r="M31" s="28"/>
      <c r="N31" s="28" t="str">
        <f t="shared" si="1"/>
        <v/>
      </c>
      <c r="O31" s="28" t="str">
        <f t="shared" si="2"/>
        <v/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f t="shared" si="3"/>
        <v>0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0</v>
      </c>
      <c r="C32" s="28">
        <v>1813.8400000000001</v>
      </c>
      <c r="D32" s="28">
        <v>0</v>
      </c>
      <c r="E32" s="28">
        <v>0</v>
      </c>
      <c r="F32" s="28">
        <v>0</v>
      </c>
      <c r="G32" s="28">
        <v>0</v>
      </c>
      <c r="H32" s="28">
        <v>873.29</v>
      </c>
      <c r="I32" s="28">
        <v>844.88</v>
      </c>
      <c r="J32" s="112">
        <v>0</v>
      </c>
      <c r="K32" s="28">
        <f t="shared" si="0"/>
        <v>0</v>
      </c>
      <c r="L32" s="28"/>
      <c r="M32" s="28"/>
      <c r="N32" s="28" t="str">
        <f t="shared" si="1"/>
        <v/>
      </c>
      <c r="O32" s="28" t="str">
        <f t="shared" si="2"/>
        <v/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f t="shared" si="3"/>
        <v>0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0</v>
      </c>
      <c r="C33" s="28">
        <v>1801.5900000000001</v>
      </c>
      <c r="D33" s="28">
        <v>0</v>
      </c>
      <c r="E33" s="28">
        <v>0</v>
      </c>
      <c r="F33" s="28">
        <v>0</v>
      </c>
      <c r="G33" s="28">
        <v>0</v>
      </c>
      <c r="H33" s="28">
        <v>874.95</v>
      </c>
      <c r="I33" s="28">
        <v>848.29</v>
      </c>
      <c r="J33" s="112">
        <v>0</v>
      </c>
      <c r="K33" s="28">
        <f t="shared" si="0"/>
        <v>0</v>
      </c>
      <c r="L33" s="28"/>
      <c r="M33" s="28"/>
      <c r="N33" s="28" t="str">
        <f t="shared" si="1"/>
        <v/>
      </c>
      <c r="O33" s="28" t="str">
        <f t="shared" si="2"/>
        <v/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f t="shared" si="3"/>
        <v>0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0</v>
      </c>
      <c r="C34" s="28">
        <v>1821.26</v>
      </c>
      <c r="D34" s="28">
        <v>0</v>
      </c>
      <c r="E34" s="28">
        <v>0</v>
      </c>
      <c r="F34" s="28">
        <v>0</v>
      </c>
      <c r="G34" s="28">
        <v>0</v>
      </c>
      <c r="H34" s="28">
        <v>790.83</v>
      </c>
      <c r="I34" s="28">
        <v>762.01</v>
      </c>
      <c r="J34" s="112">
        <v>0</v>
      </c>
      <c r="K34" s="28">
        <f t="shared" si="0"/>
        <v>0</v>
      </c>
      <c r="L34" s="28"/>
      <c r="M34" s="28"/>
      <c r="N34" s="28" t="str">
        <f t="shared" si="1"/>
        <v/>
      </c>
      <c r="O34" s="28" t="str">
        <f t="shared" si="2"/>
        <v/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f t="shared" si="3"/>
        <v>0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0</v>
      </c>
      <c r="C35" s="28">
        <v>1796.04</v>
      </c>
      <c r="D35" s="28">
        <v>0</v>
      </c>
      <c r="E35" s="28">
        <v>0</v>
      </c>
      <c r="F35" s="28">
        <v>0</v>
      </c>
      <c r="G35" s="28">
        <v>0</v>
      </c>
      <c r="H35" s="28">
        <v>791.99</v>
      </c>
      <c r="I35" s="28">
        <v>763.62</v>
      </c>
      <c r="J35" s="112">
        <v>0</v>
      </c>
      <c r="K35" s="116">
        <f t="shared" si="0"/>
        <v>0</v>
      </c>
      <c r="L35" s="28"/>
      <c r="M35" s="28"/>
      <c r="N35" s="28" t="str">
        <f t="shared" si="1"/>
        <v/>
      </c>
      <c r="O35" s="28" t="str">
        <f t="shared" si="2"/>
        <v/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f t="shared" si="3"/>
        <v>0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0</v>
      </c>
      <c r="C36" s="35">
        <f t="shared" ref="C36:J36" si="4">SUM(C12:C35)</f>
        <v>35842.629999999997</v>
      </c>
      <c r="D36" s="35">
        <f t="shared" si="4"/>
        <v>0</v>
      </c>
      <c r="E36" s="35">
        <f t="shared" si="4"/>
        <v>0</v>
      </c>
      <c r="F36" s="35">
        <f t="shared" si="4"/>
        <v>0</v>
      </c>
      <c r="G36" s="35">
        <f t="shared" si="4"/>
        <v>0</v>
      </c>
      <c r="H36" s="35">
        <f t="shared" si="4"/>
        <v>21009.380000000005</v>
      </c>
      <c r="I36" s="35">
        <f t="shared" si="4"/>
        <v>20394.7</v>
      </c>
      <c r="J36" s="35">
        <f t="shared" si="4"/>
        <v>0</v>
      </c>
      <c r="K36" s="36"/>
      <c r="L36" s="37"/>
      <c r="M36" s="38"/>
      <c r="N36" s="35" t="str">
        <f>IFERROR(AVERAGE(N12:N35),"")</f>
        <v/>
      </c>
      <c r="O36" s="39">
        <f t="shared" ref="O36:U36" si="5">SUM(O12:O35)</f>
        <v>0</v>
      </c>
      <c r="P36" s="39">
        <f t="shared" si="5"/>
        <v>0</v>
      </c>
      <c r="Q36" s="39">
        <f t="shared" si="5"/>
        <v>0</v>
      </c>
      <c r="R36" s="39">
        <f t="shared" si="5"/>
        <v>0</v>
      </c>
      <c r="S36" s="39">
        <f t="shared" si="5"/>
        <v>0</v>
      </c>
      <c r="T36" s="39">
        <f t="shared" si="5"/>
        <v>0</v>
      </c>
      <c r="U36" s="39">
        <f t="shared" si="5"/>
        <v>0</v>
      </c>
      <c r="V36" s="39">
        <f>SUM(V12:V35)</f>
        <v>0</v>
      </c>
      <c r="W36" s="40">
        <f>SUM(W12:W35)</f>
        <v>0</v>
      </c>
      <c r="X36" s="40"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X36</f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41404.080000000002</v>
      </c>
      <c r="J41" s="41"/>
      <c r="K41" s="13" t="s">
        <v>59</v>
      </c>
      <c r="L41" s="113">
        <v>52263.509999990463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0</v>
      </c>
      <c r="B42" s="57">
        <v>0</v>
      </c>
      <c r="C42" s="57">
        <v>0</v>
      </c>
      <c r="D42" s="57">
        <v>1</v>
      </c>
      <c r="E42" s="58"/>
      <c r="F42" s="58"/>
      <c r="G42" s="41"/>
      <c r="H42" s="217"/>
      <c r="I42" s="219"/>
      <c r="J42" s="41"/>
      <c r="K42" s="59" t="s">
        <v>60</v>
      </c>
      <c r="L42" s="114">
        <v>11010.939999997616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 t="str">
        <f>IFERROR(3412.14/N36,"")</f>
        <v/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24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Omar E. Fedullo Rueda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130400</v>
      </c>
      <c r="C58" s="28">
        <v>437.16</v>
      </c>
      <c r="D58" s="81">
        <v>1627.97</v>
      </c>
      <c r="E58" s="82">
        <v>107.63</v>
      </c>
      <c r="F58" s="83">
        <v>0</v>
      </c>
      <c r="G58" s="82">
        <v>120</v>
      </c>
      <c r="H58" s="84">
        <f t="shared" ref="H58:H81" si="6">IF(G58=0,0,100*(E58-G58)/G58)</f>
        <v>-10.308333333333337</v>
      </c>
      <c r="I58" s="85"/>
      <c r="J58" s="85" t="s">
        <v>101</v>
      </c>
      <c r="K58" s="86">
        <f t="shared" ref="K58:K81" si="7">IFERROR(U58*1000*2.2*$K$92/E58/1000,"")</f>
        <v>11723.536523274181</v>
      </c>
      <c r="L58" s="87">
        <f t="shared" ref="L58:L81" si="8">IF(OR(H58&gt;5,H58&lt;-5),E58-G58,"")</f>
        <v>-12.370000000000005</v>
      </c>
      <c r="M58" s="88">
        <v>4.49</v>
      </c>
      <c r="N58" s="88">
        <v>10.77</v>
      </c>
      <c r="O58" s="88">
        <v>14.37</v>
      </c>
      <c r="P58" s="88">
        <v>0</v>
      </c>
      <c r="Q58" s="88">
        <v>7.9</v>
      </c>
      <c r="R58" s="88">
        <v>7.29</v>
      </c>
      <c r="S58" s="88">
        <v>7.01</v>
      </c>
      <c r="T58" s="88">
        <v>11.94</v>
      </c>
      <c r="U58" s="28">
        <f>+SUM(M58:T58)</f>
        <v>63.769999999999996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129630</v>
      </c>
      <c r="C59" s="28">
        <v>513.20000000000005</v>
      </c>
      <c r="D59" s="81">
        <v>110.52</v>
      </c>
      <c r="E59" s="82">
        <v>106.95</v>
      </c>
      <c r="F59" s="82">
        <v>0</v>
      </c>
      <c r="G59" s="82">
        <v>120</v>
      </c>
      <c r="H59" s="91">
        <f t="shared" si="6"/>
        <v>-10.874999999999998</v>
      </c>
      <c r="I59" s="85"/>
      <c r="J59" s="85" t="s">
        <v>101</v>
      </c>
      <c r="K59" s="86">
        <f t="shared" si="7"/>
        <v>11798.076072931277</v>
      </c>
      <c r="L59" s="87">
        <f t="shared" si="8"/>
        <v>-13.049999999999997</v>
      </c>
      <c r="M59" s="88">
        <v>4.49</v>
      </c>
      <c r="N59" s="88">
        <v>10.76</v>
      </c>
      <c r="O59" s="88">
        <v>14.38</v>
      </c>
      <c r="P59" s="88">
        <v>0</v>
      </c>
      <c r="Q59" s="88">
        <v>7.82</v>
      </c>
      <c r="R59" s="88">
        <v>7.51</v>
      </c>
      <c r="S59" s="88">
        <v>6.93</v>
      </c>
      <c r="T59" s="88">
        <v>11.88</v>
      </c>
      <c r="U59" s="28">
        <f t="shared" ref="U59:U81" si="9">+SUM(M59:T59)</f>
        <v>63.77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129470</v>
      </c>
      <c r="C60" s="28">
        <v>27.34</v>
      </c>
      <c r="D60" s="81">
        <v>1256.29</v>
      </c>
      <c r="E60" s="82">
        <v>107.01</v>
      </c>
      <c r="F60" s="82">
        <v>0</v>
      </c>
      <c r="G60" s="82">
        <v>130</v>
      </c>
      <c r="H60" s="91">
        <f t="shared" si="6"/>
        <v>-17.68461538461538</v>
      </c>
      <c r="I60" s="85"/>
      <c r="J60" s="85" t="s">
        <v>101</v>
      </c>
      <c r="K60" s="86">
        <f t="shared" si="7"/>
        <v>11839.536529296327</v>
      </c>
      <c r="L60" s="87">
        <f t="shared" si="8"/>
        <v>-22.989999999999995</v>
      </c>
      <c r="M60" s="88">
        <v>4.51</v>
      </c>
      <c r="N60" s="88">
        <v>10.82</v>
      </c>
      <c r="O60" s="88">
        <v>14.39</v>
      </c>
      <c r="P60" s="88">
        <v>0</v>
      </c>
      <c r="Q60" s="88">
        <v>7.88</v>
      </c>
      <c r="R60" s="88">
        <v>7.56</v>
      </c>
      <c r="S60" s="88">
        <v>6.94</v>
      </c>
      <c r="T60" s="88">
        <v>11.93</v>
      </c>
      <c r="U60" s="28">
        <f t="shared" si="9"/>
        <v>64.03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132030</v>
      </c>
      <c r="C61" s="28">
        <v>111.07</v>
      </c>
      <c r="D61" s="81">
        <v>539.09</v>
      </c>
      <c r="E61" s="82">
        <v>109.09</v>
      </c>
      <c r="F61" s="82">
        <v>0</v>
      </c>
      <c r="G61" s="82">
        <v>130</v>
      </c>
      <c r="H61" s="91">
        <f t="shared" si="6"/>
        <v>-16.084615384615383</v>
      </c>
      <c r="I61" s="85"/>
      <c r="J61" s="85" t="s">
        <v>101</v>
      </c>
      <c r="K61" s="86">
        <f t="shared" si="7"/>
        <v>11878.609698414155</v>
      </c>
      <c r="L61" s="87">
        <f t="shared" si="8"/>
        <v>-20.909999999999997</v>
      </c>
      <c r="M61" s="88">
        <v>4.76</v>
      </c>
      <c r="N61" s="88">
        <v>11.07</v>
      </c>
      <c r="O61" s="88">
        <v>14.61</v>
      </c>
      <c r="P61" s="88">
        <v>0</v>
      </c>
      <c r="Q61" s="88">
        <v>8.14</v>
      </c>
      <c r="R61" s="88">
        <v>7.49</v>
      </c>
      <c r="S61" s="88">
        <v>7.27</v>
      </c>
      <c r="T61" s="88">
        <v>12.15</v>
      </c>
      <c r="U61" s="28">
        <f t="shared" si="9"/>
        <v>65.490000000000009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137180</v>
      </c>
      <c r="C62" s="28">
        <v>6.71</v>
      </c>
      <c r="D62" s="81">
        <v>1949.71</v>
      </c>
      <c r="E62" s="82">
        <v>113.75</v>
      </c>
      <c r="F62" s="82">
        <v>0</v>
      </c>
      <c r="G62" s="82">
        <v>130</v>
      </c>
      <c r="H62" s="91">
        <f t="shared" si="6"/>
        <v>-12.5</v>
      </c>
      <c r="I62" s="85"/>
      <c r="J62" s="85" t="s">
        <v>101</v>
      </c>
      <c r="K62" s="86">
        <f t="shared" si="7"/>
        <v>11625.071156043956</v>
      </c>
      <c r="L62" s="87">
        <f t="shared" si="8"/>
        <v>-16.25</v>
      </c>
      <c r="M62" s="88">
        <v>4.99</v>
      </c>
      <c r="N62" s="88">
        <v>11.32</v>
      </c>
      <c r="O62" s="88">
        <v>14.85</v>
      </c>
      <c r="P62" s="88">
        <v>0</v>
      </c>
      <c r="Q62" s="88">
        <v>8.4</v>
      </c>
      <c r="R62" s="88">
        <v>7.47</v>
      </c>
      <c r="S62" s="88">
        <v>7.41</v>
      </c>
      <c r="T62" s="88">
        <v>12.39</v>
      </c>
      <c r="U62" s="28">
        <f t="shared" si="9"/>
        <v>66.83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139930</v>
      </c>
      <c r="C63" s="28">
        <v>0</v>
      </c>
      <c r="D63" s="81">
        <v>4653.6099999999997</v>
      </c>
      <c r="E63" s="82">
        <v>116.28</v>
      </c>
      <c r="F63" s="82">
        <v>0</v>
      </c>
      <c r="G63" s="82">
        <v>130</v>
      </c>
      <c r="H63" s="91">
        <f t="shared" si="6"/>
        <v>-10.553846153846154</v>
      </c>
      <c r="I63" s="85"/>
      <c r="J63" s="85" t="s">
        <v>101</v>
      </c>
      <c r="K63" s="86">
        <f t="shared" si="7"/>
        <v>11491.250464396286</v>
      </c>
      <c r="L63" s="87">
        <f t="shared" si="8"/>
        <v>-13.719999999999999</v>
      </c>
      <c r="M63" s="88">
        <v>5.05</v>
      </c>
      <c r="N63" s="88">
        <v>11.46</v>
      </c>
      <c r="O63" s="88">
        <v>14.9</v>
      </c>
      <c r="P63" s="88">
        <v>0</v>
      </c>
      <c r="Q63" s="88">
        <v>8.52</v>
      </c>
      <c r="R63" s="88">
        <v>7.47</v>
      </c>
      <c r="S63" s="88">
        <v>7.56</v>
      </c>
      <c r="T63" s="88">
        <v>12.57</v>
      </c>
      <c r="U63" s="28">
        <f t="shared" si="9"/>
        <v>67.53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140310</v>
      </c>
      <c r="C64" s="28">
        <v>3636.2</v>
      </c>
      <c r="D64" s="81">
        <v>832.58</v>
      </c>
      <c r="E64" s="82">
        <v>116.59</v>
      </c>
      <c r="F64" s="82">
        <v>0</v>
      </c>
      <c r="G64" s="82">
        <v>130</v>
      </c>
      <c r="H64" s="91">
        <f t="shared" si="6"/>
        <v>-10.315384615384612</v>
      </c>
      <c r="I64" s="85"/>
      <c r="J64" s="85" t="s">
        <v>101</v>
      </c>
      <c r="K64" s="86">
        <f t="shared" si="7"/>
        <v>11475.970632129684</v>
      </c>
      <c r="L64" s="87">
        <f t="shared" si="8"/>
        <v>-13.409999999999997</v>
      </c>
      <c r="M64" s="88">
        <v>5.08</v>
      </c>
      <c r="N64" s="88">
        <v>11.46</v>
      </c>
      <c r="O64" s="88">
        <v>14.98</v>
      </c>
      <c r="P64" s="88">
        <v>0</v>
      </c>
      <c r="Q64" s="88">
        <v>8.5399999999999991</v>
      </c>
      <c r="R64" s="88">
        <v>7.47</v>
      </c>
      <c r="S64" s="88">
        <v>7.59</v>
      </c>
      <c r="T64" s="88">
        <v>12.5</v>
      </c>
      <c r="U64" s="28">
        <f t="shared" si="9"/>
        <v>67.62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140620</v>
      </c>
      <c r="C65" s="28">
        <v>6862.44</v>
      </c>
      <c r="D65" s="81">
        <v>0</v>
      </c>
      <c r="E65" s="82">
        <v>117.07</v>
      </c>
      <c r="F65" s="82">
        <v>0</v>
      </c>
      <c r="G65" s="82">
        <v>130</v>
      </c>
      <c r="H65" s="91">
        <f t="shared" si="6"/>
        <v>-9.9461538461538517</v>
      </c>
      <c r="I65" s="85"/>
      <c r="J65" s="85" t="s">
        <v>101</v>
      </c>
      <c r="K65" s="86">
        <f t="shared" si="7"/>
        <v>11439.05888784488</v>
      </c>
      <c r="L65" s="87">
        <f t="shared" si="8"/>
        <v>-12.930000000000007</v>
      </c>
      <c r="M65" s="88">
        <v>5.09</v>
      </c>
      <c r="N65" s="88">
        <v>11.45</v>
      </c>
      <c r="O65" s="88">
        <v>14.92</v>
      </c>
      <c r="P65" s="88">
        <v>0</v>
      </c>
      <c r="Q65" s="88">
        <v>8.5500000000000007</v>
      </c>
      <c r="R65" s="88">
        <v>7.5</v>
      </c>
      <c r="S65" s="88">
        <v>7.6</v>
      </c>
      <c r="T65" s="88">
        <v>12.57</v>
      </c>
      <c r="U65" s="28">
        <f t="shared" si="9"/>
        <v>67.680000000000007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139700</v>
      </c>
      <c r="C66" s="28">
        <v>4730.6000000000004</v>
      </c>
      <c r="D66" s="81">
        <v>0</v>
      </c>
      <c r="E66" s="82">
        <v>116.27</v>
      </c>
      <c r="F66" s="82">
        <v>0</v>
      </c>
      <c r="G66" s="82">
        <v>130</v>
      </c>
      <c r="H66" s="91">
        <f t="shared" si="6"/>
        <v>-10.561538461538465</v>
      </c>
      <c r="I66" s="85"/>
      <c r="J66" s="85" t="s">
        <v>101</v>
      </c>
      <c r="K66" s="86">
        <f t="shared" si="7"/>
        <v>11563.714285714286</v>
      </c>
      <c r="L66" s="87">
        <f t="shared" si="8"/>
        <v>-13.730000000000004</v>
      </c>
      <c r="M66" s="88">
        <v>5.13</v>
      </c>
      <c r="N66" s="88">
        <v>11.48</v>
      </c>
      <c r="O66" s="88">
        <v>14.97</v>
      </c>
      <c r="P66" s="88">
        <v>0</v>
      </c>
      <c r="Q66" s="88">
        <v>8.6</v>
      </c>
      <c r="R66" s="88">
        <v>7.51</v>
      </c>
      <c r="S66" s="88">
        <v>7.61</v>
      </c>
      <c r="T66" s="88">
        <v>12.65</v>
      </c>
      <c r="U66" s="28">
        <f t="shared" si="9"/>
        <v>67.95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140700</v>
      </c>
      <c r="C67" s="28">
        <v>3962.05</v>
      </c>
      <c r="D67" s="81">
        <v>0</v>
      </c>
      <c r="E67" s="82">
        <v>117.6</v>
      </c>
      <c r="F67" s="82">
        <v>0</v>
      </c>
      <c r="G67" s="82">
        <v>130</v>
      </c>
      <c r="H67" s="91">
        <f t="shared" si="6"/>
        <v>-9.5384615384615419</v>
      </c>
      <c r="I67" s="85"/>
      <c r="J67" s="85" t="s">
        <v>101</v>
      </c>
      <c r="K67" s="86">
        <f t="shared" si="7"/>
        <v>11488.458367346944</v>
      </c>
      <c r="L67" s="87">
        <f t="shared" si="8"/>
        <v>-12.400000000000006</v>
      </c>
      <c r="M67" s="88">
        <v>5.18</v>
      </c>
      <c r="N67" s="88">
        <v>11.56</v>
      </c>
      <c r="O67" s="88">
        <v>15.06</v>
      </c>
      <c r="P67" s="88">
        <v>0</v>
      </c>
      <c r="Q67" s="88">
        <v>8.6300000000000008</v>
      </c>
      <c r="R67" s="88">
        <v>7.48</v>
      </c>
      <c r="S67" s="88">
        <v>7.65</v>
      </c>
      <c r="T67" s="88">
        <v>12.72</v>
      </c>
      <c r="U67" s="28">
        <f t="shared" si="9"/>
        <v>68.280000000000015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142160</v>
      </c>
      <c r="C68" s="28">
        <v>3875.54</v>
      </c>
      <c r="D68" s="81">
        <v>29.31</v>
      </c>
      <c r="E68" s="82">
        <v>118.5</v>
      </c>
      <c r="F68" s="82">
        <v>0</v>
      </c>
      <c r="G68" s="82">
        <v>130</v>
      </c>
      <c r="H68" s="91">
        <f t="shared" si="6"/>
        <v>-8.8461538461538467</v>
      </c>
      <c r="I68" s="85"/>
      <c r="J68" s="85" t="s">
        <v>101</v>
      </c>
      <c r="K68" s="86">
        <f t="shared" si="7"/>
        <v>11494.711493670884</v>
      </c>
      <c r="L68" s="87">
        <f t="shared" si="8"/>
        <v>-11.5</v>
      </c>
      <c r="M68" s="88">
        <v>5.2</v>
      </c>
      <c r="N68" s="88">
        <v>11.64</v>
      </c>
      <c r="O68" s="88">
        <v>15.14</v>
      </c>
      <c r="P68" s="92">
        <v>0</v>
      </c>
      <c r="Q68" s="88">
        <v>8.74</v>
      </c>
      <c r="R68" s="88">
        <v>7.54</v>
      </c>
      <c r="S68" s="88">
        <v>7.8</v>
      </c>
      <c r="T68" s="88">
        <v>12.78</v>
      </c>
      <c r="U68" s="28">
        <f t="shared" si="9"/>
        <v>68.839999999999989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143370</v>
      </c>
      <c r="C69" s="28">
        <v>399.96</v>
      </c>
      <c r="D69" s="81">
        <v>493.82</v>
      </c>
      <c r="E69" s="82">
        <v>119.79</v>
      </c>
      <c r="F69" s="82">
        <v>0</v>
      </c>
      <c r="G69" s="82">
        <v>130</v>
      </c>
      <c r="H69" s="91">
        <f t="shared" si="6"/>
        <v>-7.853846153846149</v>
      </c>
      <c r="I69" s="85"/>
      <c r="J69" s="85" t="s">
        <v>101</v>
      </c>
      <c r="K69" s="86">
        <f t="shared" si="7"/>
        <v>11440.301928374656</v>
      </c>
      <c r="L69" s="87">
        <f t="shared" si="8"/>
        <v>-10.209999999999994</v>
      </c>
      <c r="M69" s="88">
        <v>5.27</v>
      </c>
      <c r="N69" s="88">
        <v>11.68</v>
      </c>
      <c r="O69" s="88">
        <v>15.21</v>
      </c>
      <c r="P69" s="92">
        <v>0</v>
      </c>
      <c r="Q69" s="88">
        <v>8.82</v>
      </c>
      <c r="R69" s="88">
        <v>7.56</v>
      </c>
      <c r="S69" s="88">
        <v>7.89</v>
      </c>
      <c r="T69" s="88">
        <v>12.83</v>
      </c>
      <c r="U69" s="28">
        <f t="shared" si="9"/>
        <v>69.260000000000005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145540</v>
      </c>
      <c r="C70" s="28">
        <v>53.28</v>
      </c>
      <c r="D70" s="81">
        <v>1877.81</v>
      </c>
      <c r="E70" s="82">
        <v>121.31</v>
      </c>
      <c r="F70" s="82">
        <v>0</v>
      </c>
      <c r="G70" s="82">
        <v>130</v>
      </c>
      <c r="H70" s="91">
        <f t="shared" si="6"/>
        <v>-6.6846153846153831</v>
      </c>
      <c r="I70" s="85"/>
      <c r="J70" s="85" t="s">
        <v>101</v>
      </c>
      <c r="K70" s="86">
        <f t="shared" si="7"/>
        <v>11265.965509850794</v>
      </c>
      <c r="L70" s="87">
        <f t="shared" si="8"/>
        <v>-8.6899999999999977</v>
      </c>
      <c r="M70" s="88">
        <v>5.26</v>
      </c>
      <c r="N70" s="88">
        <v>11.67</v>
      </c>
      <c r="O70" s="88">
        <v>15.19</v>
      </c>
      <c r="P70" s="92">
        <v>0</v>
      </c>
      <c r="Q70" s="88">
        <v>8.7799999999999994</v>
      </c>
      <c r="R70" s="88">
        <v>7.5</v>
      </c>
      <c r="S70" s="88">
        <v>7.86</v>
      </c>
      <c r="T70" s="88">
        <v>12.81</v>
      </c>
      <c r="U70" s="28">
        <f t="shared" si="9"/>
        <v>69.069999999999993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142730</v>
      </c>
      <c r="C71" s="28">
        <v>3635.73</v>
      </c>
      <c r="D71" s="81">
        <v>231.34</v>
      </c>
      <c r="E71" s="82">
        <v>119.18</v>
      </c>
      <c r="F71" s="82">
        <v>0</v>
      </c>
      <c r="G71" s="82">
        <v>130</v>
      </c>
      <c r="H71" s="91">
        <f t="shared" si="6"/>
        <v>-8.3230769230769184</v>
      </c>
      <c r="I71" s="85"/>
      <c r="J71" s="85" t="s">
        <v>101</v>
      </c>
      <c r="K71" s="86">
        <f t="shared" si="7"/>
        <v>11404.222956871958</v>
      </c>
      <c r="L71" s="87">
        <f t="shared" si="8"/>
        <v>-10.819999999999993</v>
      </c>
      <c r="M71" s="88">
        <v>5.24</v>
      </c>
      <c r="N71" s="88">
        <v>11.6</v>
      </c>
      <c r="O71" s="88">
        <v>15.08</v>
      </c>
      <c r="P71" s="92">
        <v>0</v>
      </c>
      <c r="Q71" s="88">
        <v>8.6999999999999993</v>
      </c>
      <c r="R71" s="88">
        <v>7.48</v>
      </c>
      <c r="S71" s="88">
        <v>7.8</v>
      </c>
      <c r="T71" s="88">
        <v>12.79</v>
      </c>
      <c r="U71" s="28">
        <f t="shared" si="9"/>
        <v>68.69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144630</v>
      </c>
      <c r="C72" s="28">
        <v>288.98</v>
      </c>
      <c r="D72" s="81">
        <v>617.66</v>
      </c>
      <c r="E72" s="82">
        <v>120.33</v>
      </c>
      <c r="F72" s="82">
        <v>0</v>
      </c>
      <c r="G72" s="82">
        <v>130</v>
      </c>
      <c r="H72" s="91">
        <f t="shared" si="6"/>
        <v>-7.4384615384615405</v>
      </c>
      <c r="I72" s="85"/>
      <c r="J72" s="85" t="s">
        <v>101</v>
      </c>
      <c r="K72" s="86">
        <f t="shared" si="7"/>
        <v>11494.201944652204</v>
      </c>
      <c r="L72" s="87">
        <f t="shared" si="8"/>
        <v>-9.6700000000000017</v>
      </c>
      <c r="M72" s="88">
        <v>5.35</v>
      </c>
      <c r="N72" s="88">
        <v>11.81</v>
      </c>
      <c r="O72" s="88">
        <v>15.3</v>
      </c>
      <c r="P72" s="92">
        <v>0</v>
      </c>
      <c r="Q72" s="88">
        <v>8.9499999999999993</v>
      </c>
      <c r="R72" s="88">
        <v>7.52</v>
      </c>
      <c r="S72" s="88">
        <v>8</v>
      </c>
      <c r="T72" s="88">
        <v>12.97</v>
      </c>
      <c r="U72" s="28">
        <f t="shared" si="9"/>
        <v>69.899999999999991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149160</v>
      </c>
      <c r="C73" s="28">
        <v>1466.15</v>
      </c>
      <c r="D73" s="81">
        <v>559.54999999999995</v>
      </c>
      <c r="E73" s="82">
        <v>124.58</v>
      </c>
      <c r="F73" s="82">
        <v>0</v>
      </c>
      <c r="G73" s="82">
        <v>130</v>
      </c>
      <c r="H73" s="91">
        <f t="shared" si="6"/>
        <v>-4.1692307692307713</v>
      </c>
      <c r="I73" s="85"/>
      <c r="J73" s="85" t="s">
        <v>101</v>
      </c>
      <c r="K73" s="86">
        <f t="shared" si="7"/>
        <v>11235.497126344522</v>
      </c>
      <c r="L73" s="87" t="str">
        <f t="shared" si="8"/>
        <v/>
      </c>
      <c r="M73" s="88">
        <v>5.49</v>
      </c>
      <c r="N73" s="88">
        <v>11.96</v>
      </c>
      <c r="O73" s="88">
        <v>15.48</v>
      </c>
      <c r="P73" s="88">
        <v>0</v>
      </c>
      <c r="Q73" s="88">
        <v>9.1</v>
      </c>
      <c r="R73" s="88">
        <v>7.55</v>
      </c>
      <c r="S73" s="88">
        <v>8.0399999999999991</v>
      </c>
      <c r="T73" s="88">
        <v>13.12</v>
      </c>
      <c r="U73" s="28">
        <f t="shared" si="9"/>
        <v>70.740000000000009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152020</v>
      </c>
      <c r="C74" s="28">
        <v>445.49</v>
      </c>
      <c r="D74" s="81">
        <v>1272.19</v>
      </c>
      <c r="E74" s="82">
        <v>127.54</v>
      </c>
      <c r="F74" s="82">
        <v>0</v>
      </c>
      <c r="G74" s="82">
        <v>130</v>
      </c>
      <c r="H74" s="91">
        <f t="shared" si="6"/>
        <v>-1.8923076923076876</v>
      </c>
      <c r="I74" s="85"/>
      <c r="J74" s="85" t="s">
        <v>101</v>
      </c>
      <c r="K74" s="86">
        <f t="shared" si="7"/>
        <v>11046.104437823427</v>
      </c>
      <c r="L74" s="87" t="str">
        <f t="shared" si="8"/>
        <v/>
      </c>
      <c r="M74" s="88">
        <v>5.57</v>
      </c>
      <c r="N74" s="88">
        <v>11.99</v>
      </c>
      <c r="O74" s="88">
        <v>15.52</v>
      </c>
      <c r="P74" s="88">
        <v>0</v>
      </c>
      <c r="Q74" s="88">
        <v>9.14</v>
      </c>
      <c r="R74" s="88">
        <v>7.54</v>
      </c>
      <c r="S74" s="88">
        <v>8.2100000000000009</v>
      </c>
      <c r="T74" s="88">
        <v>13.23</v>
      </c>
      <c r="U74" s="28">
        <f t="shared" si="9"/>
        <v>71.2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150740</v>
      </c>
      <c r="C75" s="28">
        <v>50.82</v>
      </c>
      <c r="D75" s="81">
        <v>1612.08</v>
      </c>
      <c r="E75" s="82">
        <v>126.46</v>
      </c>
      <c r="F75" s="82">
        <v>0</v>
      </c>
      <c r="G75" s="82">
        <v>130</v>
      </c>
      <c r="H75" s="91">
        <f t="shared" si="6"/>
        <v>-2.7230769230769281</v>
      </c>
      <c r="I75" s="85"/>
      <c r="J75" s="85" t="s">
        <v>101</v>
      </c>
      <c r="K75" s="86">
        <f t="shared" si="7"/>
        <v>11265.614423533134</v>
      </c>
      <c r="L75" s="87" t="str">
        <f t="shared" si="8"/>
        <v/>
      </c>
      <c r="M75" s="88">
        <v>5.67</v>
      </c>
      <c r="N75" s="88">
        <v>12.16</v>
      </c>
      <c r="O75" s="88">
        <v>15.67</v>
      </c>
      <c r="P75" s="88">
        <v>0</v>
      </c>
      <c r="Q75" s="88">
        <v>9.31</v>
      </c>
      <c r="R75" s="88">
        <v>7.54</v>
      </c>
      <c r="S75" s="88">
        <v>8.2899999999999991</v>
      </c>
      <c r="T75" s="88">
        <v>13.36</v>
      </c>
      <c r="U75" s="28">
        <f t="shared" si="9"/>
        <v>72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154530</v>
      </c>
      <c r="C76" s="28">
        <v>853.25</v>
      </c>
      <c r="D76" s="81">
        <v>896.15</v>
      </c>
      <c r="E76" s="82">
        <v>129.94</v>
      </c>
      <c r="F76" s="82">
        <v>0</v>
      </c>
      <c r="G76" s="82">
        <v>130</v>
      </c>
      <c r="H76" s="91">
        <f t="shared" si="6"/>
        <v>-4.6153846153847905E-2</v>
      </c>
      <c r="I76" s="85"/>
      <c r="J76" s="85" t="s">
        <v>101</v>
      </c>
      <c r="K76" s="86">
        <f t="shared" si="7"/>
        <v>11170.999291980916</v>
      </c>
      <c r="L76" s="87" t="str">
        <f t="shared" si="8"/>
        <v/>
      </c>
      <c r="M76" s="88">
        <v>5.86</v>
      </c>
      <c r="N76" s="88">
        <v>12.41</v>
      </c>
      <c r="O76" s="88">
        <v>15.86</v>
      </c>
      <c r="P76" s="88">
        <v>0</v>
      </c>
      <c r="Q76" s="88">
        <v>9.56</v>
      </c>
      <c r="R76" s="88">
        <v>7.49</v>
      </c>
      <c r="S76" s="88">
        <v>8.51</v>
      </c>
      <c r="T76" s="88">
        <v>13.67</v>
      </c>
      <c r="U76" s="28">
        <f t="shared" si="9"/>
        <v>73.36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156020</v>
      </c>
      <c r="C77" s="28">
        <v>915.98</v>
      </c>
      <c r="D77" s="81">
        <v>124.61</v>
      </c>
      <c r="E77" s="82">
        <v>130.59</v>
      </c>
      <c r="F77" s="82">
        <v>0</v>
      </c>
      <c r="G77" s="82">
        <v>130</v>
      </c>
      <c r="H77" s="91">
        <f t="shared" si="6"/>
        <v>0.45384615384615645</v>
      </c>
      <c r="I77" s="85"/>
      <c r="J77" s="85" t="s">
        <v>101</v>
      </c>
      <c r="K77" s="86">
        <f t="shared" si="7"/>
        <v>11291.158097863545</v>
      </c>
      <c r="L77" s="87" t="str">
        <f t="shared" si="8"/>
        <v/>
      </c>
      <c r="M77" s="88">
        <v>6</v>
      </c>
      <c r="N77" s="88">
        <v>12.59</v>
      </c>
      <c r="O77" s="88">
        <v>16.010000000000002</v>
      </c>
      <c r="P77" s="88">
        <v>0</v>
      </c>
      <c r="Q77" s="88">
        <v>9.81</v>
      </c>
      <c r="R77" s="88">
        <v>7.49</v>
      </c>
      <c r="S77" s="88">
        <v>8.73</v>
      </c>
      <c r="T77" s="88">
        <v>13.89</v>
      </c>
      <c r="U77" s="28">
        <f t="shared" si="9"/>
        <v>74.52000000000001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158180</v>
      </c>
      <c r="C78" s="28">
        <v>229.54</v>
      </c>
      <c r="D78" s="81">
        <v>351.32</v>
      </c>
      <c r="E78" s="82">
        <v>133</v>
      </c>
      <c r="F78" s="82">
        <v>0</v>
      </c>
      <c r="G78" s="82">
        <v>130</v>
      </c>
      <c r="H78" s="91">
        <f t="shared" si="6"/>
        <v>2.3076923076923075</v>
      </c>
      <c r="I78" s="85"/>
      <c r="J78" s="85" t="s">
        <v>101</v>
      </c>
      <c r="K78" s="86">
        <f t="shared" si="7"/>
        <v>11168.384030075193</v>
      </c>
      <c r="L78" s="87" t="str">
        <f t="shared" si="8"/>
        <v/>
      </c>
      <c r="M78" s="88">
        <v>6.08</v>
      </c>
      <c r="N78" s="88">
        <v>12.66</v>
      </c>
      <c r="O78" s="88">
        <v>16.13</v>
      </c>
      <c r="P78" s="88">
        <v>0</v>
      </c>
      <c r="Q78" s="88">
        <v>9.85</v>
      </c>
      <c r="R78" s="88">
        <v>7.52</v>
      </c>
      <c r="S78" s="88">
        <v>8.9</v>
      </c>
      <c r="T78" s="88">
        <v>13.93</v>
      </c>
      <c r="U78" s="28">
        <f t="shared" si="9"/>
        <v>75.070000000000007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160460</v>
      </c>
      <c r="C79" s="28">
        <v>900.86</v>
      </c>
      <c r="D79" s="81">
        <v>46.4</v>
      </c>
      <c r="E79" s="82">
        <v>135.44</v>
      </c>
      <c r="F79" s="82">
        <v>0</v>
      </c>
      <c r="G79" s="82">
        <v>130</v>
      </c>
      <c r="H79" s="91">
        <f t="shared" si="6"/>
        <v>4.1846153846153831</v>
      </c>
      <c r="I79" s="85"/>
      <c r="J79" s="85" t="s">
        <v>101</v>
      </c>
      <c r="K79" s="86">
        <f t="shared" si="7"/>
        <v>11122.039899586536</v>
      </c>
      <c r="L79" s="87" t="str">
        <f t="shared" si="8"/>
        <v/>
      </c>
      <c r="M79" s="88">
        <v>6.24</v>
      </c>
      <c r="N79" s="88">
        <v>12.86</v>
      </c>
      <c r="O79" s="88">
        <v>16.25</v>
      </c>
      <c r="P79" s="88">
        <v>0</v>
      </c>
      <c r="Q79" s="88">
        <v>10.1</v>
      </c>
      <c r="R79" s="88">
        <v>7.47</v>
      </c>
      <c r="S79" s="88">
        <v>9.09</v>
      </c>
      <c r="T79" s="88">
        <v>14.12</v>
      </c>
      <c r="U79" s="28">
        <f t="shared" si="9"/>
        <v>76.13000000000001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161640</v>
      </c>
      <c r="C80" s="28">
        <v>594.38</v>
      </c>
      <c r="D80" s="81">
        <v>125.52</v>
      </c>
      <c r="E80" s="82">
        <v>136.71</v>
      </c>
      <c r="F80" s="82">
        <v>0</v>
      </c>
      <c r="G80" s="82">
        <v>140</v>
      </c>
      <c r="H80" s="91">
        <f t="shared" si="6"/>
        <v>-2.3499999999999943</v>
      </c>
      <c r="I80" s="85"/>
      <c r="J80" s="85" t="s">
        <v>101</v>
      </c>
      <c r="K80" s="86">
        <f t="shared" si="7"/>
        <v>11079.508009655474</v>
      </c>
      <c r="L80" s="87" t="str">
        <f t="shared" si="8"/>
        <v/>
      </c>
      <c r="M80" s="88">
        <v>6.31</v>
      </c>
      <c r="N80" s="88">
        <v>12.9</v>
      </c>
      <c r="O80" s="88">
        <v>16.37</v>
      </c>
      <c r="P80" s="88">
        <v>0</v>
      </c>
      <c r="Q80" s="88">
        <v>10.130000000000001</v>
      </c>
      <c r="R80" s="88">
        <v>7.46</v>
      </c>
      <c r="S80" s="88">
        <v>9.18</v>
      </c>
      <c r="T80" s="88">
        <v>14.2</v>
      </c>
      <c r="U80" s="28">
        <f t="shared" si="9"/>
        <v>76.55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165110</v>
      </c>
      <c r="C81" s="28">
        <v>107.47</v>
      </c>
      <c r="D81" s="28">
        <v>517.69000000000005</v>
      </c>
      <c r="E81" s="96">
        <v>139.62</v>
      </c>
      <c r="F81" s="97">
        <v>0</v>
      </c>
      <c r="G81" s="82">
        <v>140</v>
      </c>
      <c r="H81" s="98">
        <f t="shared" si="6"/>
        <v>-0.27142857142856819</v>
      </c>
      <c r="I81" s="115"/>
      <c r="J81" s="85" t="s">
        <v>101</v>
      </c>
      <c r="K81" s="99">
        <f t="shared" si="7"/>
        <v>11025.734422002579</v>
      </c>
      <c r="L81" s="87" t="str">
        <f t="shared" si="8"/>
        <v/>
      </c>
      <c r="M81" s="92">
        <v>6.5</v>
      </c>
      <c r="N81" s="92">
        <v>13.09</v>
      </c>
      <c r="O81" s="92">
        <v>16.61</v>
      </c>
      <c r="P81" s="92">
        <v>0</v>
      </c>
      <c r="Q81" s="92">
        <v>10.37</v>
      </c>
      <c r="R81" s="92">
        <v>7.54</v>
      </c>
      <c r="S81" s="92">
        <v>9.33</v>
      </c>
      <c r="T81" s="92">
        <v>14.36</v>
      </c>
      <c r="U81" s="28">
        <f t="shared" si="9"/>
        <v>77.8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0">SUM(B58:B81)</f>
        <v>3486260</v>
      </c>
      <c r="C82" s="35">
        <f t="shared" si="10"/>
        <v>34104.199999999997</v>
      </c>
      <c r="D82" s="35">
        <f t="shared" si="10"/>
        <v>19725.22</v>
      </c>
      <c r="E82" s="35">
        <f t="shared" si="10"/>
        <v>2911.2299999999996</v>
      </c>
      <c r="F82" s="101">
        <f t="shared" si="10"/>
        <v>0</v>
      </c>
      <c r="G82" s="35">
        <f t="shared" si="10"/>
        <v>3120</v>
      </c>
      <c r="H82" s="102"/>
      <c r="I82" s="103"/>
      <c r="J82" s="104"/>
      <c r="K82" s="105">
        <f>IFERROR(AVERAGE(K58:K81),"")</f>
        <v>11409.488591236577</v>
      </c>
      <c r="L82" s="40">
        <f t="shared" ref="L82:U82" si="11">SUM(L58:L81)</f>
        <v>-202.65000000000003</v>
      </c>
      <c r="M82" s="40">
        <f t="shared" si="11"/>
        <v>128.81</v>
      </c>
      <c r="N82" s="39">
        <f t="shared" si="11"/>
        <v>283.16999999999996</v>
      </c>
      <c r="O82" s="39">
        <f t="shared" si="11"/>
        <v>367.25000000000006</v>
      </c>
      <c r="P82" s="39">
        <f t="shared" si="11"/>
        <v>0</v>
      </c>
      <c r="Q82" s="39">
        <f t="shared" si="11"/>
        <v>214.33999999999997</v>
      </c>
      <c r="R82" s="39">
        <f t="shared" si="11"/>
        <v>179.95000000000005</v>
      </c>
      <c r="S82" s="39">
        <f t="shared" si="11"/>
        <v>191.20000000000002</v>
      </c>
      <c r="T82" s="39">
        <f t="shared" si="11"/>
        <v>311.36</v>
      </c>
      <c r="U82" s="118">
        <f t="shared" si="11"/>
        <v>1676.0800000000002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0</v>
      </c>
      <c r="J87" s="41"/>
      <c r="K87" s="62" t="s">
        <v>59</v>
      </c>
      <c r="L87" s="113">
        <v>22252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1</v>
      </c>
      <c r="B88" s="57">
        <v>0</v>
      </c>
      <c r="C88" s="57">
        <v>0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23470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>
        <f>IFERROR(3412.14/K82,"")</f>
        <v>0.29906160760095796</v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A1:C1"/>
    <mergeCell ref="D1:U2"/>
    <mergeCell ref="V1:X4"/>
    <mergeCell ref="A2:C2"/>
    <mergeCell ref="A3:C3"/>
    <mergeCell ref="D3:U4"/>
    <mergeCell ref="A4:C4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39:A40"/>
    <mergeCell ref="B39:B40"/>
    <mergeCell ref="C39:C40"/>
    <mergeCell ref="D39:D40"/>
    <mergeCell ref="H39:I40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H41:H42"/>
    <mergeCell ref="I41:I42"/>
    <mergeCell ref="K44:L44"/>
    <mergeCell ref="C45:I46"/>
    <mergeCell ref="K45:L45"/>
    <mergeCell ref="K46:L4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A85:A86"/>
    <mergeCell ref="B85:B86"/>
    <mergeCell ref="C85:C86"/>
    <mergeCell ref="D85:D86"/>
    <mergeCell ref="H85:I86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K90:L90"/>
    <mergeCell ref="B91:B92"/>
    <mergeCell ref="C91:I92"/>
    <mergeCell ref="K91:L91"/>
    <mergeCell ref="K92:L9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67AF-BEEB-41F2-8994-F8CE4AD91153}">
  <dimension ref="A1:Z109"/>
  <sheetViews>
    <sheetView topLeftCell="D5" zoomScale="85" zoomScaleNormal="85" workbookViewId="0">
      <selection activeCell="U82" sqref="U82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25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77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0</v>
      </c>
      <c r="C12" s="28">
        <v>1824.05</v>
      </c>
      <c r="D12" s="28">
        <v>0</v>
      </c>
      <c r="E12" s="28">
        <v>0</v>
      </c>
      <c r="F12" s="28">
        <v>0</v>
      </c>
      <c r="G12" s="28">
        <v>0</v>
      </c>
      <c r="H12" s="28">
        <v>772.62</v>
      </c>
      <c r="I12" s="28">
        <v>749.74</v>
      </c>
      <c r="J12" s="112">
        <v>0</v>
      </c>
      <c r="K12" s="28">
        <f t="shared" ref="K12:K35" si="0">IF(J12=0,0,100*(G12-J12)/J12)</f>
        <v>0</v>
      </c>
      <c r="L12" s="28"/>
      <c r="M12" s="28"/>
      <c r="N12" s="28" t="str">
        <f t="shared" ref="N12:N35" si="1">IFERROR(V12*1000*2.2*$K$46/G12/1000,"")</f>
        <v/>
      </c>
      <c r="O12" s="28" t="str">
        <f t="shared" ref="O12:O35" si="2">IF(OR(K12&gt;5,K12&lt;-5),G12-J12,"")</f>
        <v/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f t="shared" ref="V12:V35" si="3">+SUM(P12:U12)</f>
        <v>0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0</v>
      </c>
      <c r="C13" s="28">
        <v>1821.52</v>
      </c>
      <c r="D13" s="28">
        <v>0</v>
      </c>
      <c r="E13" s="28">
        <v>0</v>
      </c>
      <c r="F13" s="28">
        <v>0</v>
      </c>
      <c r="G13" s="28">
        <v>0</v>
      </c>
      <c r="H13" s="28">
        <v>765.34</v>
      </c>
      <c r="I13" s="28">
        <v>743.61</v>
      </c>
      <c r="J13" s="112">
        <v>0</v>
      </c>
      <c r="K13" s="28">
        <f t="shared" si="0"/>
        <v>0</v>
      </c>
      <c r="L13" s="28"/>
      <c r="M13" s="28"/>
      <c r="N13" s="28" t="str">
        <f t="shared" si="1"/>
        <v/>
      </c>
      <c r="O13" s="28" t="str">
        <f t="shared" si="2"/>
        <v/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f t="shared" si="3"/>
        <v>0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0</v>
      </c>
      <c r="C14" s="28">
        <v>1828.47</v>
      </c>
      <c r="D14" s="28">
        <v>0</v>
      </c>
      <c r="E14" s="28">
        <v>0</v>
      </c>
      <c r="F14" s="28">
        <v>0</v>
      </c>
      <c r="G14" s="28">
        <v>0</v>
      </c>
      <c r="H14" s="28">
        <v>760.57</v>
      </c>
      <c r="I14" s="28">
        <v>738.14</v>
      </c>
      <c r="J14" s="112">
        <v>0</v>
      </c>
      <c r="K14" s="28">
        <f t="shared" si="0"/>
        <v>0</v>
      </c>
      <c r="L14" s="28"/>
      <c r="M14" s="28"/>
      <c r="N14" s="28" t="str">
        <f t="shared" si="1"/>
        <v/>
      </c>
      <c r="O14" s="28" t="str">
        <f t="shared" si="2"/>
        <v/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f t="shared" si="3"/>
        <v>0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0</v>
      </c>
      <c r="C15" s="28">
        <v>1824.46</v>
      </c>
      <c r="D15" s="28">
        <v>0</v>
      </c>
      <c r="E15" s="28">
        <v>0</v>
      </c>
      <c r="F15" s="28">
        <v>0</v>
      </c>
      <c r="G15" s="28">
        <v>0</v>
      </c>
      <c r="H15" s="28">
        <v>763.37</v>
      </c>
      <c r="I15" s="28">
        <v>745.61</v>
      </c>
      <c r="J15" s="112">
        <v>0</v>
      </c>
      <c r="K15" s="28">
        <f t="shared" si="0"/>
        <v>0</v>
      </c>
      <c r="L15" s="28"/>
      <c r="M15" s="28"/>
      <c r="N15" s="28" t="str">
        <f t="shared" si="1"/>
        <v/>
      </c>
      <c r="O15" s="28" t="str">
        <f t="shared" si="2"/>
        <v/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f t="shared" si="3"/>
        <v>0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0</v>
      </c>
      <c r="C16" s="28">
        <v>1819.39</v>
      </c>
      <c r="D16" s="28">
        <v>0</v>
      </c>
      <c r="E16" s="28">
        <v>0</v>
      </c>
      <c r="F16" s="28">
        <v>0</v>
      </c>
      <c r="G16" s="28">
        <v>0</v>
      </c>
      <c r="H16" s="28">
        <v>758.15</v>
      </c>
      <c r="I16" s="28">
        <v>745.76</v>
      </c>
      <c r="J16" s="112">
        <v>0</v>
      </c>
      <c r="K16" s="28">
        <f t="shared" si="0"/>
        <v>0</v>
      </c>
      <c r="L16" s="28"/>
      <c r="M16" s="28"/>
      <c r="N16" s="28" t="str">
        <f t="shared" si="1"/>
        <v/>
      </c>
      <c r="O16" s="28" t="str">
        <f t="shared" si="2"/>
        <v/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f t="shared" si="3"/>
        <v>0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0</v>
      </c>
      <c r="C17" s="28">
        <v>1817.8</v>
      </c>
      <c r="D17" s="28">
        <v>0</v>
      </c>
      <c r="E17" s="28">
        <v>0</v>
      </c>
      <c r="F17" s="28">
        <v>0</v>
      </c>
      <c r="G17" s="28">
        <v>0</v>
      </c>
      <c r="H17" s="28">
        <v>755.88</v>
      </c>
      <c r="I17" s="28">
        <v>748.8</v>
      </c>
      <c r="J17" s="112">
        <v>0</v>
      </c>
      <c r="K17" s="28">
        <f t="shared" si="0"/>
        <v>0</v>
      </c>
      <c r="L17" s="28"/>
      <c r="M17" s="28"/>
      <c r="N17" s="28" t="str">
        <f t="shared" si="1"/>
        <v/>
      </c>
      <c r="O17" s="28" t="str">
        <f t="shared" si="2"/>
        <v/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f t="shared" si="3"/>
        <v>0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0</v>
      </c>
      <c r="C18" s="28">
        <v>1818.84</v>
      </c>
      <c r="D18" s="28">
        <v>0</v>
      </c>
      <c r="E18" s="28">
        <v>0</v>
      </c>
      <c r="F18" s="28">
        <v>0</v>
      </c>
      <c r="G18" s="28">
        <v>0</v>
      </c>
      <c r="H18" s="28">
        <v>758.16</v>
      </c>
      <c r="I18" s="28">
        <v>751.83</v>
      </c>
      <c r="J18" s="112">
        <v>0</v>
      </c>
      <c r="K18" s="28">
        <f t="shared" si="0"/>
        <v>0</v>
      </c>
      <c r="L18" s="28"/>
      <c r="M18" s="28"/>
      <c r="N18" s="28" t="str">
        <f t="shared" si="1"/>
        <v/>
      </c>
      <c r="O18" s="28" t="str">
        <f t="shared" si="2"/>
        <v/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f t="shared" si="3"/>
        <v>0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0</v>
      </c>
      <c r="C19" s="28">
        <v>1868.95</v>
      </c>
      <c r="D19" s="28">
        <v>0</v>
      </c>
      <c r="E19" s="28">
        <v>0</v>
      </c>
      <c r="F19" s="28">
        <v>0</v>
      </c>
      <c r="G19" s="28">
        <v>0</v>
      </c>
      <c r="H19" s="28">
        <v>691.9</v>
      </c>
      <c r="I19" s="28">
        <v>688.46</v>
      </c>
      <c r="J19" s="112">
        <v>0</v>
      </c>
      <c r="K19" s="28">
        <f t="shared" si="0"/>
        <v>0</v>
      </c>
      <c r="L19" s="28"/>
      <c r="M19" s="28"/>
      <c r="N19" s="28" t="str">
        <f t="shared" si="1"/>
        <v/>
      </c>
      <c r="O19" s="28" t="str">
        <f t="shared" si="2"/>
        <v/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f t="shared" si="3"/>
        <v>0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0</v>
      </c>
      <c r="C20" s="28">
        <v>1856.15</v>
      </c>
      <c r="D20" s="28">
        <v>0</v>
      </c>
      <c r="E20" s="28">
        <v>0</v>
      </c>
      <c r="F20" s="28">
        <v>0</v>
      </c>
      <c r="G20" s="28">
        <v>0</v>
      </c>
      <c r="H20" s="28">
        <v>696.85</v>
      </c>
      <c r="I20" s="28">
        <v>696.89</v>
      </c>
      <c r="J20" s="112">
        <v>0</v>
      </c>
      <c r="K20" s="28">
        <f t="shared" si="0"/>
        <v>0</v>
      </c>
      <c r="L20" s="28"/>
      <c r="M20" s="28"/>
      <c r="N20" s="28" t="str">
        <f t="shared" si="1"/>
        <v/>
      </c>
      <c r="O20" s="28" t="str">
        <f t="shared" si="2"/>
        <v/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f t="shared" si="3"/>
        <v>0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0</v>
      </c>
      <c r="C21" s="28">
        <v>1842.52</v>
      </c>
      <c r="D21" s="28">
        <v>0</v>
      </c>
      <c r="E21" s="28">
        <v>0</v>
      </c>
      <c r="F21" s="28">
        <v>0</v>
      </c>
      <c r="G21" s="28">
        <v>0</v>
      </c>
      <c r="H21" s="28">
        <v>706.84</v>
      </c>
      <c r="I21" s="28">
        <v>712.53</v>
      </c>
      <c r="J21" s="112">
        <v>0</v>
      </c>
      <c r="K21" s="28">
        <f t="shared" si="0"/>
        <v>0</v>
      </c>
      <c r="L21" s="28"/>
      <c r="M21" s="28"/>
      <c r="N21" s="28" t="str">
        <f t="shared" si="1"/>
        <v/>
      </c>
      <c r="O21" s="28" t="str">
        <f t="shared" si="2"/>
        <v/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f t="shared" si="3"/>
        <v>0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0</v>
      </c>
      <c r="C22" s="28">
        <v>1832.43</v>
      </c>
      <c r="D22" s="28">
        <v>0</v>
      </c>
      <c r="E22" s="28">
        <v>0</v>
      </c>
      <c r="F22" s="28">
        <v>0</v>
      </c>
      <c r="G22" s="28">
        <v>0</v>
      </c>
      <c r="H22" s="28">
        <v>732.94</v>
      </c>
      <c r="I22" s="28">
        <v>744.23</v>
      </c>
      <c r="J22" s="112">
        <v>0</v>
      </c>
      <c r="K22" s="28">
        <f t="shared" si="0"/>
        <v>0</v>
      </c>
      <c r="L22" s="28"/>
      <c r="M22" s="28"/>
      <c r="N22" s="28" t="str">
        <f t="shared" si="1"/>
        <v/>
      </c>
      <c r="O22" s="28" t="str">
        <f t="shared" si="2"/>
        <v/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f t="shared" si="3"/>
        <v>0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0</v>
      </c>
      <c r="C23" s="28">
        <v>1853.29</v>
      </c>
      <c r="D23" s="28">
        <v>0</v>
      </c>
      <c r="E23" s="28">
        <v>0</v>
      </c>
      <c r="F23" s="28">
        <v>0</v>
      </c>
      <c r="G23" s="28">
        <v>0</v>
      </c>
      <c r="H23" s="28">
        <v>717.18</v>
      </c>
      <c r="I23" s="28">
        <v>731.83</v>
      </c>
      <c r="J23" s="112">
        <v>0</v>
      </c>
      <c r="K23" s="28">
        <f t="shared" si="0"/>
        <v>0</v>
      </c>
      <c r="L23" s="28"/>
      <c r="M23" s="28"/>
      <c r="N23" s="28" t="str">
        <f t="shared" si="1"/>
        <v/>
      </c>
      <c r="O23" s="28" t="str">
        <f t="shared" si="2"/>
        <v/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f t="shared" si="3"/>
        <v>0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0</v>
      </c>
      <c r="C24" s="28">
        <v>1864.29</v>
      </c>
      <c r="D24" s="28">
        <v>0</v>
      </c>
      <c r="E24" s="28">
        <v>0</v>
      </c>
      <c r="F24" s="28">
        <v>0</v>
      </c>
      <c r="G24" s="28">
        <v>0</v>
      </c>
      <c r="H24" s="28">
        <v>708.53</v>
      </c>
      <c r="I24" s="28">
        <v>711.43</v>
      </c>
      <c r="J24" s="112">
        <v>0</v>
      </c>
      <c r="K24" s="28">
        <f t="shared" si="0"/>
        <v>0</v>
      </c>
      <c r="L24" s="28"/>
      <c r="M24" s="28"/>
      <c r="N24" s="28" t="str">
        <f t="shared" si="1"/>
        <v/>
      </c>
      <c r="O24" s="28" t="str">
        <f t="shared" si="2"/>
        <v/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f t="shared" si="3"/>
        <v>0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0</v>
      </c>
      <c r="C25" s="28">
        <v>1854.83</v>
      </c>
      <c r="D25" s="28">
        <v>0</v>
      </c>
      <c r="E25" s="28">
        <v>0</v>
      </c>
      <c r="F25" s="28">
        <v>0</v>
      </c>
      <c r="G25" s="28">
        <v>0</v>
      </c>
      <c r="H25" s="28">
        <v>729.45</v>
      </c>
      <c r="I25" s="28">
        <v>731.37</v>
      </c>
      <c r="J25" s="112">
        <v>0</v>
      </c>
      <c r="K25" s="28">
        <f t="shared" si="0"/>
        <v>0</v>
      </c>
      <c r="L25" s="28"/>
      <c r="M25" s="28"/>
      <c r="N25" s="28" t="str">
        <f t="shared" si="1"/>
        <v/>
      </c>
      <c r="O25" s="28" t="str">
        <f t="shared" si="2"/>
        <v/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f t="shared" si="3"/>
        <v>0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0</v>
      </c>
      <c r="C26" s="28">
        <v>1881.1</v>
      </c>
      <c r="D26" s="28">
        <v>0</v>
      </c>
      <c r="E26" s="28">
        <v>0</v>
      </c>
      <c r="F26" s="28">
        <v>0</v>
      </c>
      <c r="G26" s="28">
        <v>0</v>
      </c>
      <c r="H26" s="28">
        <v>742.42</v>
      </c>
      <c r="I26" s="28">
        <v>749.52</v>
      </c>
      <c r="J26" s="112">
        <v>0</v>
      </c>
      <c r="K26" s="28">
        <f t="shared" si="0"/>
        <v>0</v>
      </c>
      <c r="L26" s="28"/>
      <c r="M26" s="28"/>
      <c r="N26" s="28" t="str">
        <f t="shared" si="1"/>
        <v/>
      </c>
      <c r="O26" s="28" t="str">
        <f t="shared" si="2"/>
        <v/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f t="shared" si="3"/>
        <v>0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0</v>
      </c>
      <c r="C27" s="28">
        <v>1891.26</v>
      </c>
      <c r="D27" s="28">
        <v>0</v>
      </c>
      <c r="E27" s="28">
        <v>0</v>
      </c>
      <c r="F27" s="28">
        <v>0</v>
      </c>
      <c r="G27" s="28">
        <v>0</v>
      </c>
      <c r="H27" s="28">
        <v>729.65</v>
      </c>
      <c r="I27" s="28">
        <v>730.67</v>
      </c>
      <c r="J27" s="112">
        <v>0</v>
      </c>
      <c r="K27" s="28">
        <f t="shared" si="0"/>
        <v>0</v>
      </c>
      <c r="L27" s="28"/>
      <c r="M27" s="28"/>
      <c r="N27" s="28" t="str">
        <f t="shared" si="1"/>
        <v/>
      </c>
      <c r="O27" s="28" t="str">
        <f t="shared" si="2"/>
        <v/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f t="shared" si="3"/>
        <v>0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0</v>
      </c>
      <c r="C28" s="28">
        <v>1420.92</v>
      </c>
      <c r="D28" s="28">
        <v>0</v>
      </c>
      <c r="E28" s="28">
        <v>0</v>
      </c>
      <c r="F28" s="28">
        <v>0</v>
      </c>
      <c r="G28" s="28">
        <v>0</v>
      </c>
      <c r="H28" s="28">
        <v>712.89</v>
      </c>
      <c r="I28" s="28">
        <v>708.5</v>
      </c>
      <c r="J28" s="112">
        <v>0</v>
      </c>
      <c r="K28" s="28">
        <f t="shared" si="0"/>
        <v>0</v>
      </c>
      <c r="L28" s="28"/>
      <c r="M28" s="28"/>
      <c r="N28" s="28" t="str">
        <f t="shared" si="1"/>
        <v/>
      </c>
      <c r="O28" s="28" t="str">
        <f t="shared" si="2"/>
        <v/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f t="shared" si="3"/>
        <v>0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0</v>
      </c>
      <c r="C29" s="28">
        <v>1320.04</v>
      </c>
      <c r="D29" s="28">
        <v>0</v>
      </c>
      <c r="E29" s="28">
        <v>0</v>
      </c>
      <c r="F29" s="28">
        <v>0</v>
      </c>
      <c r="G29" s="28">
        <v>0</v>
      </c>
      <c r="H29" s="28">
        <v>716.52</v>
      </c>
      <c r="I29" s="28">
        <v>709.99</v>
      </c>
      <c r="J29" s="112">
        <v>0</v>
      </c>
      <c r="K29" s="28">
        <f t="shared" si="0"/>
        <v>0</v>
      </c>
      <c r="L29" s="28"/>
      <c r="M29" s="28"/>
      <c r="N29" s="28" t="str">
        <f t="shared" si="1"/>
        <v/>
      </c>
      <c r="O29" s="28" t="str">
        <f t="shared" si="2"/>
        <v/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f t="shared" si="3"/>
        <v>0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0</v>
      </c>
      <c r="C30" s="28">
        <v>1347.79</v>
      </c>
      <c r="D30" s="28">
        <v>0</v>
      </c>
      <c r="E30" s="28">
        <v>0</v>
      </c>
      <c r="F30" s="28">
        <v>0</v>
      </c>
      <c r="G30" s="28">
        <v>0</v>
      </c>
      <c r="H30" s="28">
        <v>699.79</v>
      </c>
      <c r="I30" s="28">
        <v>692.36</v>
      </c>
      <c r="J30" s="112">
        <v>0</v>
      </c>
      <c r="K30" s="28">
        <f t="shared" si="0"/>
        <v>0</v>
      </c>
      <c r="L30" s="28"/>
      <c r="M30" s="28"/>
      <c r="N30" s="28" t="str">
        <f t="shared" si="1"/>
        <v/>
      </c>
      <c r="O30" s="28" t="str">
        <f t="shared" si="2"/>
        <v/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f t="shared" si="3"/>
        <v>0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0</v>
      </c>
      <c r="C31" s="28">
        <v>1354.99</v>
      </c>
      <c r="D31" s="28">
        <v>0</v>
      </c>
      <c r="E31" s="28">
        <v>0</v>
      </c>
      <c r="F31" s="28">
        <v>0</v>
      </c>
      <c r="G31" s="28">
        <v>0</v>
      </c>
      <c r="H31" s="28">
        <v>686.14</v>
      </c>
      <c r="I31" s="28">
        <v>679.88</v>
      </c>
      <c r="J31" s="112">
        <v>0</v>
      </c>
      <c r="K31" s="28">
        <f t="shared" si="0"/>
        <v>0</v>
      </c>
      <c r="L31" s="28"/>
      <c r="M31" s="28"/>
      <c r="N31" s="28" t="str">
        <f t="shared" si="1"/>
        <v/>
      </c>
      <c r="O31" s="28" t="str">
        <f t="shared" si="2"/>
        <v/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f t="shared" si="3"/>
        <v>0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0</v>
      </c>
      <c r="C32" s="28">
        <v>1349.13</v>
      </c>
      <c r="D32" s="28">
        <v>0</v>
      </c>
      <c r="E32" s="28">
        <v>0</v>
      </c>
      <c r="F32" s="28">
        <v>0</v>
      </c>
      <c r="G32" s="28">
        <v>0</v>
      </c>
      <c r="H32" s="28">
        <v>683.32</v>
      </c>
      <c r="I32" s="28">
        <v>676.96</v>
      </c>
      <c r="J32" s="112">
        <v>0</v>
      </c>
      <c r="K32" s="28">
        <f t="shared" si="0"/>
        <v>0</v>
      </c>
      <c r="L32" s="28"/>
      <c r="M32" s="28"/>
      <c r="N32" s="28" t="str">
        <f t="shared" si="1"/>
        <v/>
      </c>
      <c r="O32" s="28" t="str">
        <f t="shared" si="2"/>
        <v/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f t="shared" si="3"/>
        <v>0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0</v>
      </c>
      <c r="C33" s="28">
        <v>1338.31</v>
      </c>
      <c r="D33" s="28">
        <v>0</v>
      </c>
      <c r="E33" s="28">
        <v>0</v>
      </c>
      <c r="F33" s="28">
        <v>0</v>
      </c>
      <c r="G33" s="28">
        <v>0</v>
      </c>
      <c r="H33" s="28">
        <v>684.24</v>
      </c>
      <c r="I33" s="28">
        <v>678.59</v>
      </c>
      <c r="J33" s="112">
        <v>0</v>
      </c>
      <c r="K33" s="28">
        <f t="shared" si="0"/>
        <v>0</v>
      </c>
      <c r="L33" s="28"/>
      <c r="M33" s="28"/>
      <c r="N33" s="28" t="str">
        <f t="shared" si="1"/>
        <v/>
      </c>
      <c r="O33" s="28" t="str">
        <f t="shared" si="2"/>
        <v/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f t="shared" si="3"/>
        <v>0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0</v>
      </c>
      <c r="C34" s="28">
        <v>1354.8000000000002</v>
      </c>
      <c r="D34" s="28">
        <v>0</v>
      </c>
      <c r="E34" s="28">
        <v>0</v>
      </c>
      <c r="F34" s="28">
        <v>0</v>
      </c>
      <c r="G34" s="28">
        <v>0</v>
      </c>
      <c r="H34" s="28">
        <v>669.55</v>
      </c>
      <c r="I34" s="28">
        <v>666.66</v>
      </c>
      <c r="J34" s="112">
        <v>0</v>
      </c>
      <c r="K34" s="28">
        <f t="shared" si="0"/>
        <v>0</v>
      </c>
      <c r="L34" s="28"/>
      <c r="M34" s="28"/>
      <c r="N34" s="28" t="str">
        <f t="shared" si="1"/>
        <v/>
      </c>
      <c r="O34" s="28" t="str">
        <f t="shared" si="2"/>
        <v/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f t="shared" si="3"/>
        <v>0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0</v>
      </c>
      <c r="C35" s="28">
        <v>1367.0900000000001</v>
      </c>
      <c r="D35" s="28">
        <v>0</v>
      </c>
      <c r="E35" s="28">
        <v>0</v>
      </c>
      <c r="F35" s="28">
        <v>0</v>
      </c>
      <c r="G35" s="28">
        <v>0</v>
      </c>
      <c r="H35" s="28">
        <v>661.77</v>
      </c>
      <c r="I35" s="28">
        <v>658.61</v>
      </c>
      <c r="J35" s="112">
        <v>0</v>
      </c>
      <c r="K35" s="116">
        <f t="shared" si="0"/>
        <v>0</v>
      </c>
      <c r="L35" s="28"/>
      <c r="M35" s="28"/>
      <c r="N35" s="28" t="str">
        <f t="shared" si="1"/>
        <v/>
      </c>
      <c r="O35" s="28" t="str">
        <f t="shared" si="2"/>
        <v/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f t="shared" si="3"/>
        <v>0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0</v>
      </c>
      <c r="C36" s="35">
        <f t="shared" ref="C36:J36" si="4">SUM(C12:C35)</f>
        <v>40352.42</v>
      </c>
      <c r="D36" s="35">
        <f t="shared" si="4"/>
        <v>0</v>
      </c>
      <c r="E36" s="35">
        <f t="shared" si="4"/>
        <v>0</v>
      </c>
      <c r="F36" s="35">
        <f t="shared" si="4"/>
        <v>0</v>
      </c>
      <c r="G36" s="35">
        <f t="shared" si="4"/>
        <v>0</v>
      </c>
      <c r="H36" s="35">
        <f t="shared" si="4"/>
        <v>17304.070000000003</v>
      </c>
      <c r="I36" s="35">
        <f t="shared" si="4"/>
        <v>17191.97</v>
      </c>
      <c r="J36" s="35">
        <f t="shared" si="4"/>
        <v>0</v>
      </c>
      <c r="K36" s="36"/>
      <c r="L36" s="37"/>
      <c r="M36" s="38"/>
      <c r="N36" s="35" t="str">
        <f>IFERROR(AVERAGE(N12:N35),"")</f>
        <v/>
      </c>
      <c r="O36" s="39">
        <f t="shared" ref="O36:U36" si="5">SUM(O12:O35)</f>
        <v>0</v>
      </c>
      <c r="P36" s="39">
        <f t="shared" si="5"/>
        <v>0</v>
      </c>
      <c r="Q36" s="39">
        <f t="shared" si="5"/>
        <v>0</v>
      </c>
      <c r="R36" s="39">
        <f t="shared" si="5"/>
        <v>0</v>
      </c>
      <c r="S36" s="39">
        <f t="shared" si="5"/>
        <v>0</v>
      </c>
      <c r="T36" s="39">
        <f t="shared" si="5"/>
        <v>0</v>
      </c>
      <c r="U36" s="39">
        <f t="shared" si="5"/>
        <v>0</v>
      </c>
      <c r="V36" s="39">
        <f>SUM(V12:V35)</f>
        <v>0</v>
      </c>
      <c r="W36" s="40">
        <f>SUM(W12:W35)</f>
        <v>0</v>
      </c>
      <c r="X36" s="40"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X36</f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34496.040000000008</v>
      </c>
      <c r="J41" s="41"/>
      <c r="K41" s="13" t="s">
        <v>59</v>
      </c>
      <c r="L41" s="113">
        <v>33731.490000009537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0</v>
      </c>
      <c r="B42" s="57">
        <v>0</v>
      </c>
      <c r="C42" s="57">
        <v>0</v>
      </c>
      <c r="D42" s="57">
        <v>1</v>
      </c>
      <c r="E42" s="58"/>
      <c r="F42" s="58"/>
      <c r="G42" s="41"/>
      <c r="H42" s="217"/>
      <c r="I42" s="219"/>
      <c r="J42" s="41"/>
      <c r="K42" s="59" t="s">
        <v>60</v>
      </c>
      <c r="L42" s="114">
        <v>4303.0600000023842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 t="str">
        <f>IFERROR(3412.14/N36,"")</f>
        <v/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25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David Ortiz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174550</v>
      </c>
      <c r="C58" s="28">
        <v>162.24</v>
      </c>
      <c r="D58" s="81">
        <v>1387.03</v>
      </c>
      <c r="E58" s="82">
        <v>147.78</v>
      </c>
      <c r="F58" s="83">
        <v>0</v>
      </c>
      <c r="G58" s="82">
        <v>270</v>
      </c>
      <c r="H58" s="84">
        <f t="shared" ref="H58:H81" si="6">IF(G58=0,0,100*(E58-G58)/G58)</f>
        <v>-45.266666666666666</v>
      </c>
      <c r="I58" s="85"/>
      <c r="J58" s="85" t="s">
        <v>101</v>
      </c>
      <c r="K58" s="86">
        <f t="shared" ref="K58:K81" si="7">IFERROR(U58*1000*2.2*$K$92/E58/1000,"")</f>
        <v>10961.87113276492</v>
      </c>
      <c r="L58" s="87">
        <f t="shared" ref="L58:L81" si="8">IF(OR(H58&gt;5,H58&lt;-5),E58-G58,"")</f>
        <v>-122.22</v>
      </c>
      <c r="M58" s="88">
        <v>7.2</v>
      </c>
      <c r="N58" s="88">
        <v>13.76</v>
      </c>
      <c r="O58" s="88">
        <v>17.11</v>
      </c>
      <c r="P58" s="88">
        <v>0</v>
      </c>
      <c r="Q58" s="88">
        <v>11.16</v>
      </c>
      <c r="R58" s="88">
        <v>7.46</v>
      </c>
      <c r="S58" s="88">
        <v>10.15</v>
      </c>
      <c r="T58" s="88">
        <v>15.03</v>
      </c>
      <c r="U58" s="28">
        <f>+SUM(M58:T58)</f>
        <v>81.87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185840</v>
      </c>
      <c r="C59" s="28">
        <v>75.459999999999994</v>
      </c>
      <c r="D59" s="81">
        <v>1017.53</v>
      </c>
      <c r="E59" s="82">
        <v>158.24</v>
      </c>
      <c r="F59" s="82">
        <v>0</v>
      </c>
      <c r="G59" s="82">
        <v>270</v>
      </c>
      <c r="H59" s="91">
        <f t="shared" si="6"/>
        <v>-41.392592592592592</v>
      </c>
      <c r="I59" s="85"/>
      <c r="J59" s="85" t="s">
        <v>101</v>
      </c>
      <c r="K59" s="86">
        <f t="shared" si="7"/>
        <v>10898.74550050556</v>
      </c>
      <c r="L59" s="87">
        <f t="shared" si="8"/>
        <v>-111.75999999999999</v>
      </c>
      <c r="M59" s="88">
        <v>7.98</v>
      </c>
      <c r="N59" s="88">
        <v>14.6</v>
      </c>
      <c r="O59" s="88">
        <v>17.91</v>
      </c>
      <c r="P59" s="88">
        <v>0</v>
      </c>
      <c r="Q59" s="88">
        <v>12.14</v>
      </c>
      <c r="R59" s="88">
        <v>7.52</v>
      </c>
      <c r="S59" s="88">
        <v>11.02</v>
      </c>
      <c r="T59" s="88">
        <v>15.99</v>
      </c>
      <c r="U59" s="28">
        <f t="shared" ref="U59:U81" si="9">+SUM(M59:T59)</f>
        <v>87.159999999999982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196850</v>
      </c>
      <c r="C60" s="28">
        <v>6.83</v>
      </c>
      <c r="D60" s="81">
        <v>3128.35</v>
      </c>
      <c r="E60" s="82">
        <v>168</v>
      </c>
      <c r="F60" s="82">
        <v>0</v>
      </c>
      <c r="G60" s="82">
        <v>15</v>
      </c>
      <c r="H60" s="91">
        <f t="shared" si="6"/>
        <v>1020</v>
      </c>
      <c r="I60" s="85"/>
      <c r="J60" s="85" t="s">
        <v>101</v>
      </c>
      <c r="K60" s="86">
        <f t="shared" si="7"/>
        <v>10764.961428571429</v>
      </c>
      <c r="L60" s="87">
        <f t="shared" si="8"/>
        <v>153</v>
      </c>
      <c r="M60" s="88">
        <v>8.6199999999999992</v>
      </c>
      <c r="N60" s="88">
        <v>15.24</v>
      </c>
      <c r="O60" s="88">
        <v>18.62</v>
      </c>
      <c r="P60" s="88">
        <v>0</v>
      </c>
      <c r="Q60" s="88">
        <v>12.91</v>
      </c>
      <c r="R60" s="88">
        <v>7.46</v>
      </c>
      <c r="S60" s="88">
        <v>11.74</v>
      </c>
      <c r="T60" s="88">
        <v>16.809999999999999</v>
      </c>
      <c r="U60" s="28">
        <f>+SUM(M60:T60)</f>
        <v>91.4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207950</v>
      </c>
      <c r="C61" s="28">
        <v>0</v>
      </c>
      <c r="D61" s="81">
        <v>4130.71</v>
      </c>
      <c r="E61" s="82">
        <v>178.1</v>
      </c>
      <c r="F61" s="82">
        <v>0</v>
      </c>
      <c r="G61" s="82">
        <v>15</v>
      </c>
      <c r="H61" s="91">
        <f t="shared" si="6"/>
        <v>1087.3333333333333</v>
      </c>
      <c r="I61" s="85"/>
      <c r="J61" s="85" t="s">
        <v>101</v>
      </c>
      <c r="K61" s="86">
        <f t="shared" si="7"/>
        <v>10546.664368332398</v>
      </c>
      <c r="L61" s="87">
        <f t="shared" si="8"/>
        <v>163.1</v>
      </c>
      <c r="M61" s="88">
        <v>9.1199999999999992</v>
      </c>
      <c r="N61" s="88">
        <v>15.79</v>
      </c>
      <c r="O61" s="88">
        <v>19.190000000000001</v>
      </c>
      <c r="P61" s="88">
        <v>0</v>
      </c>
      <c r="Q61" s="88">
        <v>13.56</v>
      </c>
      <c r="R61" s="88">
        <v>7.51</v>
      </c>
      <c r="S61" s="88">
        <v>12.39</v>
      </c>
      <c r="T61" s="88">
        <v>17.37</v>
      </c>
      <c r="U61" s="28">
        <f t="shared" si="9"/>
        <v>94.93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218100</v>
      </c>
      <c r="C62" s="28">
        <v>0</v>
      </c>
      <c r="D62" s="81">
        <v>4951.32</v>
      </c>
      <c r="E62" s="82">
        <v>187</v>
      </c>
      <c r="F62" s="82">
        <v>0</v>
      </c>
      <c r="G62" s="82">
        <v>170</v>
      </c>
      <c r="H62" s="91">
        <f t="shared" si="6"/>
        <v>10</v>
      </c>
      <c r="I62" s="85"/>
      <c r="J62" s="85" t="s">
        <v>101</v>
      </c>
      <c r="K62" s="86">
        <f t="shared" si="7"/>
        <v>10465.841647058824</v>
      </c>
      <c r="L62" s="87">
        <f t="shared" si="8"/>
        <v>17</v>
      </c>
      <c r="M62" s="88">
        <v>9.73</v>
      </c>
      <c r="N62" s="88">
        <v>16.440000000000001</v>
      </c>
      <c r="O62" s="88">
        <v>19.829999999999998</v>
      </c>
      <c r="P62" s="88">
        <v>0</v>
      </c>
      <c r="Q62" s="88">
        <v>14.26</v>
      </c>
      <c r="R62" s="88">
        <v>7.46</v>
      </c>
      <c r="S62" s="88">
        <v>13.07</v>
      </c>
      <c r="T62" s="88">
        <v>18.12</v>
      </c>
      <c r="U62" s="28">
        <f t="shared" si="9"/>
        <v>98.91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227320</v>
      </c>
      <c r="C63" s="28">
        <v>0</v>
      </c>
      <c r="D63" s="81">
        <v>7077.41</v>
      </c>
      <c r="E63" s="82">
        <v>195.1</v>
      </c>
      <c r="F63" s="82">
        <v>0</v>
      </c>
      <c r="G63" s="82">
        <v>170</v>
      </c>
      <c r="H63" s="91">
        <f t="shared" si="6"/>
        <v>14.764705882352938</v>
      </c>
      <c r="I63" s="85"/>
      <c r="J63" s="85" t="s">
        <v>101</v>
      </c>
      <c r="K63" s="86">
        <f t="shared" si="7"/>
        <v>10383.252608918505</v>
      </c>
      <c r="L63" s="87">
        <f t="shared" si="8"/>
        <v>25.099999999999994</v>
      </c>
      <c r="M63" s="88">
        <v>10.210000000000001</v>
      </c>
      <c r="N63" s="88">
        <v>17.010000000000002</v>
      </c>
      <c r="O63" s="88">
        <v>20.34</v>
      </c>
      <c r="P63" s="88">
        <v>0</v>
      </c>
      <c r="Q63" s="88">
        <v>14.92</v>
      </c>
      <c r="R63" s="88">
        <v>7.52</v>
      </c>
      <c r="S63" s="88">
        <v>13.66</v>
      </c>
      <c r="T63" s="88">
        <v>18.72</v>
      </c>
      <c r="U63" s="28">
        <f t="shared" si="9"/>
        <v>102.38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231970</v>
      </c>
      <c r="C64" s="28">
        <v>0</v>
      </c>
      <c r="D64" s="81">
        <v>11035.55</v>
      </c>
      <c r="E64" s="82">
        <v>200.6</v>
      </c>
      <c r="F64" s="82">
        <v>0</v>
      </c>
      <c r="G64" s="82">
        <v>170</v>
      </c>
      <c r="H64" s="91">
        <f t="shared" si="6"/>
        <v>17.999999999999996</v>
      </c>
      <c r="I64" s="85"/>
      <c r="J64" s="85" t="s">
        <v>101</v>
      </c>
      <c r="K64" s="86">
        <f t="shared" si="7"/>
        <v>10179.450448654039</v>
      </c>
      <c r="L64" s="87">
        <f t="shared" si="8"/>
        <v>30.599999999999994</v>
      </c>
      <c r="M64" s="88">
        <v>10.3</v>
      </c>
      <c r="N64" s="88">
        <v>17.22</v>
      </c>
      <c r="O64" s="88">
        <v>20.47</v>
      </c>
      <c r="P64" s="88">
        <v>0</v>
      </c>
      <c r="Q64" s="88">
        <v>15.11</v>
      </c>
      <c r="R64" s="88">
        <v>7.51</v>
      </c>
      <c r="S64" s="88">
        <v>13.72</v>
      </c>
      <c r="T64" s="88">
        <v>18.87</v>
      </c>
      <c r="U64" s="28">
        <f t="shared" si="9"/>
        <v>103.2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232050</v>
      </c>
      <c r="C65" s="28">
        <v>0</v>
      </c>
      <c r="D65" s="81">
        <v>11924.7</v>
      </c>
      <c r="E65" s="82">
        <v>200.79</v>
      </c>
      <c r="F65" s="82">
        <v>0</v>
      </c>
      <c r="G65" s="82">
        <v>210</v>
      </c>
      <c r="H65" s="91">
        <f t="shared" si="6"/>
        <v>-4.3857142857142897</v>
      </c>
      <c r="I65" s="85"/>
      <c r="J65" s="85" t="s">
        <v>101</v>
      </c>
      <c r="K65" s="86">
        <f t="shared" si="7"/>
        <v>10277.231794412073</v>
      </c>
      <c r="L65" s="87" t="str">
        <f t="shared" si="8"/>
        <v/>
      </c>
      <c r="M65" s="88">
        <v>9.51</v>
      </c>
      <c r="N65" s="88">
        <v>16.309999999999999</v>
      </c>
      <c r="O65" s="88">
        <v>19.600000000000001</v>
      </c>
      <c r="P65" s="88">
        <v>3.17</v>
      </c>
      <c r="Q65" s="88">
        <v>15.23</v>
      </c>
      <c r="R65" s="88">
        <v>7.52</v>
      </c>
      <c r="S65" s="88">
        <v>13.85</v>
      </c>
      <c r="T65" s="88">
        <v>19.100000000000001</v>
      </c>
      <c r="U65" s="28">
        <f t="shared" si="9"/>
        <v>104.28999999999999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240840</v>
      </c>
      <c r="C66" s="28">
        <v>0</v>
      </c>
      <c r="D66" s="81">
        <v>14904.74</v>
      </c>
      <c r="E66" s="82">
        <v>207.86</v>
      </c>
      <c r="F66" s="82">
        <v>0</v>
      </c>
      <c r="G66" s="82">
        <v>220</v>
      </c>
      <c r="H66" s="91">
        <f t="shared" si="6"/>
        <v>-5.5181818181818123</v>
      </c>
      <c r="I66" s="85"/>
      <c r="J66" s="85" t="s">
        <v>101</v>
      </c>
      <c r="K66" s="86">
        <f t="shared" si="7"/>
        <v>10171.363321466373</v>
      </c>
      <c r="L66" s="87">
        <f t="shared" si="8"/>
        <v>-12.139999999999986</v>
      </c>
      <c r="M66" s="88">
        <v>9.5399999999999991</v>
      </c>
      <c r="N66" s="88">
        <v>15.16</v>
      </c>
      <c r="O66" s="88">
        <v>16.61</v>
      </c>
      <c r="P66" s="88">
        <v>11.48</v>
      </c>
      <c r="Q66" s="88">
        <v>13.88</v>
      </c>
      <c r="R66" s="88">
        <v>9.6999999999999993</v>
      </c>
      <c r="S66" s="88">
        <v>12.71</v>
      </c>
      <c r="T66" s="88">
        <v>17.77</v>
      </c>
      <c r="U66" s="28">
        <f t="shared" si="9"/>
        <v>106.85000000000001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251460</v>
      </c>
      <c r="C67" s="28">
        <v>0</v>
      </c>
      <c r="D67" s="81">
        <v>16417.78</v>
      </c>
      <c r="E67" s="82">
        <v>217.59</v>
      </c>
      <c r="F67" s="82">
        <v>0</v>
      </c>
      <c r="G67" s="82">
        <v>220</v>
      </c>
      <c r="H67" s="91">
        <f t="shared" si="6"/>
        <v>-1.0954545454545439</v>
      </c>
      <c r="I67" s="85"/>
      <c r="J67" s="85" t="s">
        <v>101</v>
      </c>
      <c r="K67" s="86">
        <f t="shared" si="7"/>
        <v>10121.195091686199</v>
      </c>
      <c r="L67" s="87" t="str">
        <f t="shared" si="8"/>
        <v/>
      </c>
      <c r="M67" s="88">
        <v>10.74</v>
      </c>
      <c r="N67" s="88">
        <v>15.51</v>
      </c>
      <c r="O67" s="88">
        <v>15.77</v>
      </c>
      <c r="P67" s="88">
        <v>13.68</v>
      </c>
      <c r="Q67" s="88">
        <v>14.23</v>
      </c>
      <c r="R67" s="88">
        <v>10.14</v>
      </c>
      <c r="S67" s="88">
        <v>13.07</v>
      </c>
      <c r="T67" s="88">
        <v>18.16</v>
      </c>
      <c r="U67" s="28">
        <f t="shared" si="9"/>
        <v>111.29999999999998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252300</v>
      </c>
      <c r="C68" s="28">
        <v>0</v>
      </c>
      <c r="D68" s="81">
        <v>18493.61</v>
      </c>
      <c r="E68" s="82">
        <v>219.05</v>
      </c>
      <c r="F68" s="82">
        <v>0</v>
      </c>
      <c r="G68" s="82">
        <v>220</v>
      </c>
      <c r="H68" s="91">
        <f t="shared" si="6"/>
        <v>-0.43181818181817666</v>
      </c>
      <c r="I68" s="85"/>
      <c r="J68" s="85" t="s">
        <v>101</v>
      </c>
      <c r="K68" s="86">
        <f t="shared" si="7"/>
        <v>10008.570828577951</v>
      </c>
      <c r="L68" s="87" t="str">
        <f t="shared" si="8"/>
        <v/>
      </c>
      <c r="M68" s="88">
        <v>10.68</v>
      </c>
      <c r="N68" s="88">
        <v>15.44</v>
      </c>
      <c r="O68" s="88">
        <v>15.68</v>
      </c>
      <c r="P68" s="92">
        <v>13.58</v>
      </c>
      <c r="Q68" s="88">
        <v>14.28</v>
      </c>
      <c r="R68" s="88">
        <v>10.039999999999999</v>
      </c>
      <c r="S68" s="88">
        <v>13.03</v>
      </c>
      <c r="T68" s="88">
        <v>18.07</v>
      </c>
      <c r="U68" s="28">
        <f t="shared" si="9"/>
        <v>110.79999999999998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253240</v>
      </c>
      <c r="C69" s="28">
        <v>0</v>
      </c>
      <c r="D69" s="81">
        <v>19782.03</v>
      </c>
      <c r="E69" s="82">
        <v>220.11</v>
      </c>
      <c r="F69" s="82">
        <v>0</v>
      </c>
      <c r="G69" s="82">
        <v>220</v>
      </c>
      <c r="H69" s="91">
        <f t="shared" si="6"/>
        <v>5.0000000000006199E-2</v>
      </c>
      <c r="I69" s="85"/>
      <c r="J69" s="85" t="s">
        <v>101</v>
      </c>
      <c r="K69" s="86">
        <f t="shared" si="7"/>
        <v>9996.3298350824607</v>
      </c>
      <c r="L69" s="87" t="str">
        <f t="shared" si="8"/>
        <v/>
      </c>
      <c r="M69" s="88">
        <v>10.73</v>
      </c>
      <c r="N69" s="88">
        <v>15.49</v>
      </c>
      <c r="O69" s="88">
        <v>15.76</v>
      </c>
      <c r="P69" s="92">
        <v>13.72</v>
      </c>
      <c r="Q69" s="88">
        <v>14.13</v>
      </c>
      <c r="R69" s="88">
        <v>10.07</v>
      </c>
      <c r="S69" s="88">
        <v>12.91</v>
      </c>
      <c r="T69" s="88">
        <v>18.39</v>
      </c>
      <c r="U69" s="28">
        <f t="shared" si="9"/>
        <v>111.2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260400</v>
      </c>
      <c r="C70" s="28">
        <v>0</v>
      </c>
      <c r="D70" s="81">
        <v>22682.3</v>
      </c>
      <c r="E70" s="82">
        <v>225.42</v>
      </c>
      <c r="F70" s="82">
        <v>0</v>
      </c>
      <c r="G70" s="82">
        <v>220</v>
      </c>
      <c r="H70" s="91">
        <f t="shared" si="6"/>
        <v>2.4636363636363581</v>
      </c>
      <c r="I70" s="85"/>
      <c r="J70" s="85" t="s">
        <v>101</v>
      </c>
      <c r="K70" s="86">
        <f t="shared" si="7"/>
        <v>9988.1996805962226</v>
      </c>
      <c r="L70" s="87" t="str">
        <f t="shared" si="8"/>
        <v/>
      </c>
      <c r="M70" s="88">
        <v>11.04</v>
      </c>
      <c r="N70" s="88">
        <v>15.86</v>
      </c>
      <c r="O70" s="88">
        <v>16.12</v>
      </c>
      <c r="P70" s="92">
        <v>13.85</v>
      </c>
      <c r="Q70" s="88">
        <v>14.57</v>
      </c>
      <c r="R70" s="88">
        <v>10.210000000000001</v>
      </c>
      <c r="S70" s="88">
        <v>13.28</v>
      </c>
      <c r="T70" s="88">
        <v>18.86</v>
      </c>
      <c r="U70" s="28">
        <f t="shared" si="9"/>
        <v>113.79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265250</v>
      </c>
      <c r="C71" s="28">
        <v>0</v>
      </c>
      <c r="D71" s="81">
        <v>23461.7</v>
      </c>
      <c r="E71" s="82">
        <v>230.4</v>
      </c>
      <c r="F71" s="82">
        <v>0</v>
      </c>
      <c r="G71" s="82">
        <v>220</v>
      </c>
      <c r="H71" s="91">
        <f t="shared" si="6"/>
        <v>4.7272727272727293</v>
      </c>
      <c r="I71" s="85"/>
      <c r="J71" s="85" t="s">
        <v>101</v>
      </c>
      <c r="K71" s="86">
        <f t="shared" si="7"/>
        <v>9845.307083333335</v>
      </c>
      <c r="L71" s="87" t="str">
        <f t="shared" si="8"/>
        <v/>
      </c>
      <c r="M71" s="88">
        <v>11.17</v>
      </c>
      <c r="N71" s="88">
        <v>15.91</v>
      </c>
      <c r="O71" s="88">
        <v>16.22</v>
      </c>
      <c r="P71" s="92">
        <v>13.93</v>
      </c>
      <c r="Q71" s="88">
        <v>14.77</v>
      </c>
      <c r="R71" s="88">
        <v>10.119999999999999</v>
      </c>
      <c r="S71" s="88">
        <v>13.43</v>
      </c>
      <c r="T71" s="88">
        <v>19.09</v>
      </c>
      <c r="U71" s="28">
        <f t="shared" si="9"/>
        <v>114.64000000000001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265730</v>
      </c>
      <c r="C72" s="28">
        <v>0</v>
      </c>
      <c r="D72" s="81">
        <v>23972.27</v>
      </c>
      <c r="E72" s="82">
        <v>230.8</v>
      </c>
      <c r="F72" s="82">
        <v>0</v>
      </c>
      <c r="G72" s="82">
        <v>230</v>
      </c>
      <c r="H72" s="91">
        <f t="shared" si="6"/>
        <v>0.34782608695652667</v>
      </c>
      <c r="I72" s="85"/>
      <c r="J72" s="85" t="s">
        <v>101</v>
      </c>
      <c r="K72" s="86">
        <f t="shared" si="7"/>
        <v>9817.0990814558063</v>
      </c>
      <c r="L72" s="87" t="str">
        <f t="shared" si="8"/>
        <v/>
      </c>
      <c r="M72" s="88">
        <v>11.09</v>
      </c>
      <c r="N72" s="88">
        <v>15.89</v>
      </c>
      <c r="O72" s="88">
        <v>16.21</v>
      </c>
      <c r="P72" s="92">
        <v>14.08</v>
      </c>
      <c r="Q72" s="88">
        <v>14.69</v>
      </c>
      <c r="R72" s="88">
        <v>10.16</v>
      </c>
      <c r="S72" s="88">
        <v>13.39</v>
      </c>
      <c r="T72" s="88">
        <v>19</v>
      </c>
      <c r="U72" s="28">
        <f t="shared" si="9"/>
        <v>114.50999999999999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268040</v>
      </c>
      <c r="C73" s="28">
        <v>0</v>
      </c>
      <c r="D73" s="81">
        <v>24406.65</v>
      </c>
      <c r="E73" s="82">
        <v>232.93</v>
      </c>
      <c r="F73" s="82">
        <v>0</v>
      </c>
      <c r="G73" s="82">
        <v>230</v>
      </c>
      <c r="H73" s="91">
        <f t="shared" si="6"/>
        <v>1.2739130434782637</v>
      </c>
      <c r="I73" s="85"/>
      <c r="J73" s="85" t="s">
        <v>101</v>
      </c>
      <c r="K73" s="86">
        <f t="shared" si="7"/>
        <v>9791.0383720431037</v>
      </c>
      <c r="L73" s="87" t="str">
        <f t="shared" si="8"/>
        <v/>
      </c>
      <c r="M73" s="88">
        <v>10.24</v>
      </c>
      <c r="N73" s="88">
        <v>16</v>
      </c>
      <c r="O73" s="88">
        <v>16.28</v>
      </c>
      <c r="P73" s="88">
        <v>15.18</v>
      </c>
      <c r="Q73" s="88">
        <v>14.28</v>
      </c>
      <c r="R73" s="88">
        <v>11.19</v>
      </c>
      <c r="S73" s="88">
        <v>13.44</v>
      </c>
      <c r="T73" s="88">
        <v>18.649999999999999</v>
      </c>
      <c r="U73" s="28">
        <f t="shared" si="9"/>
        <v>115.25999999999999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267960</v>
      </c>
      <c r="C74" s="28">
        <v>0</v>
      </c>
      <c r="D74" s="81">
        <v>25211.98</v>
      </c>
      <c r="E74" s="82">
        <v>232.93</v>
      </c>
      <c r="F74" s="82">
        <v>0</v>
      </c>
      <c r="G74" s="82">
        <v>230</v>
      </c>
      <c r="H74" s="91">
        <f t="shared" si="6"/>
        <v>1.2739130434782637</v>
      </c>
      <c r="I74" s="85"/>
      <c r="J74" s="85" t="s">
        <v>101</v>
      </c>
      <c r="K74" s="86">
        <f t="shared" si="7"/>
        <v>9803.7804834070339</v>
      </c>
      <c r="L74" s="87" t="str">
        <f t="shared" si="8"/>
        <v/>
      </c>
      <c r="M74" s="88">
        <v>10.28</v>
      </c>
      <c r="N74" s="88">
        <v>16.04</v>
      </c>
      <c r="O74" s="88">
        <v>16.28</v>
      </c>
      <c r="P74" s="88">
        <v>15.16</v>
      </c>
      <c r="Q74" s="88">
        <v>14.06</v>
      </c>
      <c r="R74" s="88">
        <v>11.9</v>
      </c>
      <c r="S74" s="88">
        <v>13.35</v>
      </c>
      <c r="T74" s="88">
        <v>18.34</v>
      </c>
      <c r="U74" s="28">
        <f t="shared" si="9"/>
        <v>115.41000000000001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267210</v>
      </c>
      <c r="C75" s="28">
        <v>0</v>
      </c>
      <c r="D75" s="81">
        <v>23325.200000000001</v>
      </c>
      <c r="E75" s="82">
        <v>231.99</v>
      </c>
      <c r="F75" s="82">
        <v>0</v>
      </c>
      <c r="G75" s="82">
        <v>230</v>
      </c>
      <c r="H75" s="91">
        <f t="shared" si="6"/>
        <v>0.86521739130435182</v>
      </c>
      <c r="I75" s="85"/>
      <c r="J75" s="85" t="s">
        <v>101</v>
      </c>
      <c r="K75" s="86">
        <f t="shared" si="7"/>
        <v>9850.3277382645792</v>
      </c>
      <c r="L75" s="87" t="str">
        <f t="shared" si="8"/>
        <v/>
      </c>
      <c r="M75" s="88">
        <v>9.56</v>
      </c>
      <c r="N75" s="88">
        <v>16.239999999999998</v>
      </c>
      <c r="O75" s="88">
        <v>16.579999999999998</v>
      </c>
      <c r="P75" s="88">
        <v>15.49</v>
      </c>
      <c r="Q75" s="88">
        <v>13.86</v>
      </c>
      <c r="R75" s="88">
        <v>12.29</v>
      </c>
      <c r="S75" s="88">
        <v>13.2</v>
      </c>
      <c r="T75" s="88">
        <v>18.27</v>
      </c>
      <c r="U75" s="28">
        <f t="shared" si="9"/>
        <v>115.48999999999998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267120</v>
      </c>
      <c r="C76" s="28">
        <v>0</v>
      </c>
      <c r="D76" s="81">
        <v>22950.53</v>
      </c>
      <c r="E76" s="82">
        <v>232.11</v>
      </c>
      <c r="F76" s="82">
        <v>0</v>
      </c>
      <c r="G76" s="82">
        <v>230</v>
      </c>
      <c r="H76" s="91">
        <f t="shared" si="6"/>
        <v>0.917391304347832</v>
      </c>
      <c r="I76" s="85"/>
      <c r="J76" s="85" t="s">
        <v>101</v>
      </c>
      <c r="K76" s="86">
        <f t="shared" si="7"/>
        <v>9869.1044590926722</v>
      </c>
      <c r="L76" s="87" t="str">
        <f t="shared" si="8"/>
        <v/>
      </c>
      <c r="M76" s="88">
        <v>9.57</v>
      </c>
      <c r="N76" s="88">
        <v>16.309999999999999</v>
      </c>
      <c r="O76" s="88">
        <v>16.600000000000001</v>
      </c>
      <c r="P76" s="88">
        <v>15.47</v>
      </c>
      <c r="Q76" s="88">
        <v>13.97</v>
      </c>
      <c r="R76" s="88">
        <v>12.24</v>
      </c>
      <c r="S76" s="88">
        <v>13.28</v>
      </c>
      <c r="T76" s="88">
        <v>18.329999999999998</v>
      </c>
      <c r="U76" s="28">
        <f t="shared" si="9"/>
        <v>115.77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267150</v>
      </c>
      <c r="C77" s="28">
        <v>0</v>
      </c>
      <c r="D77" s="81">
        <v>22587.15</v>
      </c>
      <c r="E77" s="82">
        <v>232.06</v>
      </c>
      <c r="F77" s="82">
        <v>0</v>
      </c>
      <c r="G77" s="82">
        <v>230</v>
      </c>
      <c r="H77" s="91">
        <f t="shared" si="6"/>
        <v>0.89565217391304441</v>
      </c>
      <c r="I77" s="85"/>
      <c r="J77" s="85" t="s">
        <v>101</v>
      </c>
      <c r="K77" s="86">
        <f t="shared" si="7"/>
        <v>9863.5569421701293</v>
      </c>
      <c r="L77" s="87" t="str">
        <f t="shared" si="8"/>
        <v/>
      </c>
      <c r="M77" s="88">
        <v>9.57</v>
      </c>
      <c r="N77" s="88">
        <v>16.28</v>
      </c>
      <c r="O77" s="88">
        <v>16.59</v>
      </c>
      <c r="P77" s="88">
        <v>15.39</v>
      </c>
      <c r="Q77" s="88">
        <v>13.97</v>
      </c>
      <c r="R77" s="88">
        <v>12.29</v>
      </c>
      <c r="S77" s="88">
        <v>13.27</v>
      </c>
      <c r="T77" s="88">
        <v>18.32</v>
      </c>
      <c r="U77" s="28">
        <f t="shared" si="9"/>
        <v>115.68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267150</v>
      </c>
      <c r="C78" s="28">
        <v>0</v>
      </c>
      <c r="D78" s="81">
        <v>20862.509999999998</v>
      </c>
      <c r="E78" s="82">
        <v>232.17</v>
      </c>
      <c r="F78" s="82">
        <v>0</v>
      </c>
      <c r="G78" s="82">
        <v>230</v>
      </c>
      <c r="H78" s="91">
        <f t="shared" si="6"/>
        <v>0.94347826086955977</v>
      </c>
      <c r="I78" s="85"/>
      <c r="J78" s="85" t="s">
        <v>101</v>
      </c>
      <c r="K78" s="86">
        <f t="shared" si="7"/>
        <v>9893.8261274066444</v>
      </c>
      <c r="L78" s="87" t="str">
        <f t="shared" si="8"/>
        <v/>
      </c>
      <c r="M78" s="88">
        <v>9.58</v>
      </c>
      <c r="N78" s="88">
        <v>16.3</v>
      </c>
      <c r="O78" s="88">
        <v>16.649999999999999</v>
      </c>
      <c r="P78" s="88">
        <v>15.42</v>
      </c>
      <c r="Q78" s="88">
        <v>14.16</v>
      </c>
      <c r="R78" s="88">
        <v>12.25</v>
      </c>
      <c r="S78" s="88">
        <v>13.31</v>
      </c>
      <c r="T78" s="88">
        <v>18.420000000000002</v>
      </c>
      <c r="U78" s="28">
        <f t="shared" si="9"/>
        <v>116.09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269220</v>
      </c>
      <c r="C79" s="28">
        <v>0</v>
      </c>
      <c r="D79" s="81">
        <v>19256.2</v>
      </c>
      <c r="E79" s="82">
        <v>233.49</v>
      </c>
      <c r="F79" s="82">
        <v>0</v>
      </c>
      <c r="G79" s="82">
        <v>240</v>
      </c>
      <c r="H79" s="91">
        <f t="shared" si="6"/>
        <v>-2.7124999999999964</v>
      </c>
      <c r="I79" s="85"/>
      <c r="J79" s="85" t="s">
        <v>101</v>
      </c>
      <c r="K79" s="86">
        <f t="shared" si="7"/>
        <v>9948.9071052293475</v>
      </c>
      <c r="L79" s="87" t="str">
        <f t="shared" si="8"/>
        <v/>
      </c>
      <c r="M79" s="88">
        <v>9.75</v>
      </c>
      <c r="N79" s="88">
        <v>16.48</v>
      </c>
      <c r="O79" s="88">
        <v>16.829999999999998</v>
      </c>
      <c r="P79" s="88">
        <v>15.54</v>
      </c>
      <c r="Q79" s="88">
        <v>14.3</v>
      </c>
      <c r="R79" s="88">
        <v>12.27</v>
      </c>
      <c r="S79" s="88">
        <v>13.55</v>
      </c>
      <c r="T79" s="88">
        <v>18.68</v>
      </c>
      <c r="U79" s="28">
        <f t="shared" si="9"/>
        <v>117.4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272190</v>
      </c>
      <c r="C80" s="28">
        <v>0</v>
      </c>
      <c r="D80" s="81">
        <v>21488.43</v>
      </c>
      <c r="E80" s="82">
        <v>236.57</v>
      </c>
      <c r="F80" s="82">
        <v>0</v>
      </c>
      <c r="G80" s="82">
        <v>240</v>
      </c>
      <c r="H80" s="91">
        <f t="shared" si="6"/>
        <v>-1.4291666666666696</v>
      </c>
      <c r="I80" s="85"/>
      <c r="J80" s="85" t="s">
        <v>101</v>
      </c>
      <c r="K80" s="86">
        <f t="shared" si="7"/>
        <v>9890.4725873948537</v>
      </c>
      <c r="L80" s="87" t="str">
        <f t="shared" si="8"/>
        <v/>
      </c>
      <c r="M80" s="88">
        <v>9.82</v>
      </c>
      <c r="N80" s="88">
        <v>16.62</v>
      </c>
      <c r="O80" s="88">
        <v>16.89</v>
      </c>
      <c r="P80" s="88">
        <v>15.82</v>
      </c>
      <c r="Q80" s="88">
        <v>14.42</v>
      </c>
      <c r="R80" s="88">
        <v>12.3</v>
      </c>
      <c r="S80" s="88">
        <v>13.59</v>
      </c>
      <c r="T80" s="88">
        <v>18.79</v>
      </c>
      <c r="U80" s="28">
        <f t="shared" si="9"/>
        <v>118.25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272270</v>
      </c>
      <c r="C81" s="28">
        <v>0</v>
      </c>
      <c r="D81" s="28">
        <v>22438.080000000002</v>
      </c>
      <c r="E81" s="96">
        <v>236.86</v>
      </c>
      <c r="F81" s="97">
        <v>0</v>
      </c>
      <c r="G81" s="82">
        <v>240</v>
      </c>
      <c r="H81" s="98">
        <f t="shared" si="6"/>
        <v>-1.3083333333333276</v>
      </c>
      <c r="I81" s="115"/>
      <c r="J81" s="85" t="s">
        <v>101</v>
      </c>
      <c r="K81" s="99">
        <f t="shared" si="7"/>
        <v>10037.085282445327</v>
      </c>
      <c r="L81" s="87" t="str">
        <f t="shared" si="8"/>
        <v/>
      </c>
      <c r="M81" s="92">
        <v>10.039999999999999</v>
      </c>
      <c r="N81" s="92">
        <v>16.89</v>
      </c>
      <c r="O81" s="92">
        <v>17.13</v>
      </c>
      <c r="P81" s="92">
        <v>16.149999999999999</v>
      </c>
      <c r="Q81" s="92">
        <v>14.71</v>
      </c>
      <c r="R81" s="92">
        <v>12.33</v>
      </c>
      <c r="S81" s="92">
        <v>13.9</v>
      </c>
      <c r="T81" s="92">
        <v>19</v>
      </c>
      <c r="U81" s="28">
        <f t="shared" si="9"/>
        <v>120.15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0">SUM(B58:B81)</f>
        <v>5882160</v>
      </c>
      <c r="C82" s="35">
        <f t="shared" si="10"/>
        <v>244.53</v>
      </c>
      <c r="D82" s="35">
        <f t="shared" si="10"/>
        <v>386893.76000000007</v>
      </c>
      <c r="E82" s="35">
        <f t="shared" si="10"/>
        <v>5087.9499999999989</v>
      </c>
      <c r="F82" s="101">
        <f t="shared" si="10"/>
        <v>0</v>
      </c>
      <c r="G82" s="35">
        <f t="shared" si="10"/>
        <v>4940</v>
      </c>
      <c r="H82" s="102"/>
      <c r="I82" s="103"/>
      <c r="J82" s="104"/>
      <c r="K82" s="105">
        <f>IFERROR(AVERAGE(K58:K81),"")</f>
        <v>10140.590956202908</v>
      </c>
      <c r="L82" s="40">
        <f t="shared" ref="L82:U82" si="11">SUM(L58:L81)</f>
        <v>142.68</v>
      </c>
      <c r="M82" s="40">
        <f t="shared" si="11"/>
        <v>236.07</v>
      </c>
      <c r="N82" s="39">
        <f t="shared" si="11"/>
        <v>382.79</v>
      </c>
      <c r="O82" s="39">
        <f t="shared" si="11"/>
        <v>415.26999999999992</v>
      </c>
      <c r="P82" s="39">
        <f t="shared" si="11"/>
        <v>237.10999999999999</v>
      </c>
      <c r="Q82" s="39">
        <f t="shared" si="11"/>
        <v>337.57000000000011</v>
      </c>
      <c r="R82" s="39">
        <f t="shared" si="11"/>
        <v>239.46000000000004</v>
      </c>
      <c r="S82" s="39">
        <f t="shared" si="11"/>
        <v>312.30999999999995</v>
      </c>
      <c r="T82" s="39">
        <f t="shared" si="11"/>
        <v>436.15</v>
      </c>
      <c r="U82" s="118">
        <f t="shared" si="11"/>
        <v>2596.7300000000005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0</v>
      </c>
      <c r="J87" s="41"/>
      <c r="K87" s="62" t="s">
        <v>59</v>
      </c>
      <c r="L87" s="113">
        <v>22252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1</v>
      </c>
      <c r="B88" s="57">
        <v>0</v>
      </c>
      <c r="C88" s="57">
        <v>0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23470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>
        <f>IFERROR(3412.14/K82,"")</f>
        <v>0.33648334842978994</v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A1:C1"/>
    <mergeCell ref="D1:U2"/>
    <mergeCell ref="V1:X4"/>
    <mergeCell ref="A2:C2"/>
    <mergeCell ref="A3:C3"/>
    <mergeCell ref="D3:U4"/>
    <mergeCell ref="A4:C4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39:A40"/>
    <mergeCell ref="B39:B40"/>
    <mergeCell ref="C39:C40"/>
    <mergeCell ref="D39:D40"/>
    <mergeCell ref="H39:I40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H41:H42"/>
    <mergeCell ref="I41:I42"/>
    <mergeCell ref="K44:L44"/>
    <mergeCell ref="C45:I46"/>
    <mergeCell ref="K45:L45"/>
    <mergeCell ref="K46:L4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A85:A86"/>
    <mergeCell ref="B85:B86"/>
    <mergeCell ref="C85:C86"/>
    <mergeCell ref="D85:D86"/>
    <mergeCell ref="H85:I86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K90:L90"/>
    <mergeCell ref="B91:B92"/>
    <mergeCell ref="C91:I92"/>
    <mergeCell ref="K91:L91"/>
    <mergeCell ref="K92:L92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E34D-F374-4A71-B713-A370247F76E6}">
  <dimension ref="A1:Z109"/>
  <sheetViews>
    <sheetView topLeftCell="E8" zoomScale="85" zoomScaleNormal="85" workbookViewId="0">
      <selection activeCell="X67" sqref="X67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26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77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0</v>
      </c>
      <c r="C12" s="28">
        <v>1369.3000000000002</v>
      </c>
      <c r="D12" s="28">
        <v>0</v>
      </c>
      <c r="E12" s="28">
        <v>0</v>
      </c>
      <c r="F12" s="28">
        <v>0</v>
      </c>
      <c r="G12" s="28">
        <v>0</v>
      </c>
      <c r="H12" s="28">
        <v>664.5</v>
      </c>
      <c r="I12" s="28">
        <v>660.23</v>
      </c>
      <c r="J12" s="112">
        <v>0</v>
      </c>
      <c r="K12" s="28">
        <f t="shared" ref="K12:K35" si="0">IF(J12=0,0,100*(G12-J12)/J12)</f>
        <v>0</v>
      </c>
      <c r="L12" s="28"/>
      <c r="M12" s="28"/>
      <c r="N12" s="28" t="str">
        <f t="shared" ref="N12:N35" si="1">IFERROR(V12*1000*2.2*$K$46/G12/1000,"")</f>
        <v/>
      </c>
      <c r="O12" s="28" t="str">
        <f t="shared" ref="O12:O35" si="2">IF(OR(K12&gt;5,K12&lt;-5),G12-J12,"")</f>
        <v/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f t="shared" ref="V12:V35" si="3">+SUM(P12:U12)</f>
        <v>0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0</v>
      </c>
      <c r="C13" s="28">
        <v>1371.0900000000001</v>
      </c>
      <c r="D13" s="28">
        <v>0</v>
      </c>
      <c r="E13" s="28">
        <v>0</v>
      </c>
      <c r="F13" s="28">
        <v>0</v>
      </c>
      <c r="G13" s="28">
        <v>0</v>
      </c>
      <c r="H13" s="28">
        <v>664.51</v>
      </c>
      <c r="I13" s="28">
        <v>662.44</v>
      </c>
      <c r="J13" s="112">
        <v>0</v>
      </c>
      <c r="K13" s="28">
        <f t="shared" si="0"/>
        <v>0</v>
      </c>
      <c r="L13" s="28"/>
      <c r="M13" s="28"/>
      <c r="N13" s="28" t="str">
        <f t="shared" si="1"/>
        <v/>
      </c>
      <c r="O13" s="28" t="str">
        <f t="shared" si="2"/>
        <v/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f t="shared" si="3"/>
        <v>0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0</v>
      </c>
      <c r="C14" s="28">
        <v>1362.04</v>
      </c>
      <c r="D14" s="28">
        <v>0</v>
      </c>
      <c r="E14" s="28">
        <v>0</v>
      </c>
      <c r="F14" s="28">
        <v>0</v>
      </c>
      <c r="G14" s="28">
        <v>0</v>
      </c>
      <c r="H14" s="28">
        <v>675.32</v>
      </c>
      <c r="I14" s="28">
        <v>672.38</v>
      </c>
      <c r="J14" s="112">
        <v>0</v>
      </c>
      <c r="K14" s="28">
        <f t="shared" si="0"/>
        <v>0</v>
      </c>
      <c r="L14" s="28"/>
      <c r="M14" s="28"/>
      <c r="N14" s="28" t="str">
        <f t="shared" si="1"/>
        <v/>
      </c>
      <c r="O14" s="28" t="str">
        <f t="shared" si="2"/>
        <v/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f t="shared" si="3"/>
        <v>0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0</v>
      </c>
      <c r="C15" s="28">
        <v>1371.65</v>
      </c>
      <c r="D15" s="28">
        <v>0</v>
      </c>
      <c r="E15" s="28">
        <v>0</v>
      </c>
      <c r="F15" s="28">
        <v>0</v>
      </c>
      <c r="G15" s="28">
        <v>0</v>
      </c>
      <c r="H15" s="28">
        <v>653.91999999999996</v>
      </c>
      <c r="I15" s="28">
        <v>651.15</v>
      </c>
      <c r="J15" s="112">
        <v>0</v>
      </c>
      <c r="K15" s="28">
        <f t="shared" si="0"/>
        <v>0</v>
      </c>
      <c r="L15" s="28"/>
      <c r="M15" s="28"/>
      <c r="N15" s="28" t="str">
        <f t="shared" si="1"/>
        <v/>
      </c>
      <c r="O15" s="28" t="str">
        <f t="shared" si="2"/>
        <v/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f t="shared" si="3"/>
        <v>0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0</v>
      </c>
      <c r="C16" s="28">
        <v>1371.37</v>
      </c>
      <c r="D16" s="28">
        <v>0</v>
      </c>
      <c r="E16" s="28">
        <v>0</v>
      </c>
      <c r="F16" s="28">
        <v>0</v>
      </c>
      <c r="G16" s="28">
        <v>0</v>
      </c>
      <c r="H16" s="28">
        <v>662.29</v>
      </c>
      <c r="I16" s="28">
        <v>658.87</v>
      </c>
      <c r="J16" s="112">
        <v>0</v>
      </c>
      <c r="K16" s="28">
        <f t="shared" si="0"/>
        <v>0</v>
      </c>
      <c r="L16" s="28"/>
      <c r="M16" s="28"/>
      <c r="N16" s="28" t="str">
        <f t="shared" si="1"/>
        <v/>
      </c>
      <c r="O16" s="28" t="str">
        <f t="shared" si="2"/>
        <v/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f t="shared" si="3"/>
        <v>0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0</v>
      </c>
      <c r="C17" s="28">
        <v>1364.0900000000001</v>
      </c>
      <c r="D17" s="28">
        <v>0</v>
      </c>
      <c r="E17" s="28">
        <v>0</v>
      </c>
      <c r="F17" s="28">
        <v>0</v>
      </c>
      <c r="G17" s="28">
        <v>0</v>
      </c>
      <c r="H17" s="28">
        <v>667.53</v>
      </c>
      <c r="I17" s="28">
        <v>665.22</v>
      </c>
      <c r="J17" s="112">
        <v>0</v>
      </c>
      <c r="K17" s="28">
        <f t="shared" si="0"/>
        <v>0</v>
      </c>
      <c r="L17" s="28"/>
      <c r="M17" s="28"/>
      <c r="N17" s="28" t="str">
        <f t="shared" si="1"/>
        <v/>
      </c>
      <c r="O17" s="28" t="str">
        <f t="shared" si="2"/>
        <v/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f t="shared" si="3"/>
        <v>0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0</v>
      </c>
      <c r="C18" s="28">
        <v>1292.3000000000002</v>
      </c>
      <c r="D18" s="28">
        <v>0</v>
      </c>
      <c r="E18" s="28">
        <v>0</v>
      </c>
      <c r="F18" s="28">
        <v>0</v>
      </c>
      <c r="G18" s="28">
        <v>0</v>
      </c>
      <c r="H18" s="28">
        <v>667.26</v>
      </c>
      <c r="I18" s="28">
        <v>670.1</v>
      </c>
      <c r="J18" s="112">
        <v>0</v>
      </c>
      <c r="K18" s="28">
        <f t="shared" si="0"/>
        <v>0</v>
      </c>
      <c r="L18" s="28"/>
      <c r="M18" s="28"/>
      <c r="N18" s="28" t="str">
        <f t="shared" si="1"/>
        <v/>
      </c>
      <c r="O18" s="28" t="str">
        <f t="shared" si="2"/>
        <v/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f t="shared" si="3"/>
        <v>0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0</v>
      </c>
      <c r="C19" s="28">
        <v>1278.0999999999999</v>
      </c>
      <c r="D19" s="28">
        <v>0</v>
      </c>
      <c r="E19" s="28">
        <v>0</v>
      </c>
      <c r="F19" s="28">
        <v>0</v>
      </c>
      <c r="G19" s="28">
        <v>0</v>
      </c>
      <c r="H19" s="28">
        <v>681</v>
      </c>
      <c r="I19" s="28">
        <v>683.94</v>
      </c>
      <c r="J19" s="112">
        <v>0</v>
      </c>
      <c r="K19" s="28">
        <f t="shared" si="0"/>
        <v>0</v>
      </c>
      <c r="L19" s="28"/>
      <c r="M19" s="28"/>
      <c r="N19" s="28" t="str">
        <f t="shared" si="1"/>
        <v/>
      </c>
      <c r="O19" s="28" t="str">
        <f t="shared" si="2"/>
        <v/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f t="shared" si="3"/>
        <v>0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0</v>
      </c>
      <c r="C20" s="28">
        <v>1252.69</v>
      </c>
      <c r="D20" s="28">
        <v>0</v>
      </c>
      <c r="E20" s="28">
        <v>0</v>
      </c>
      <c r="F20" s="28">
        <v>0</v>
      </c>
      <c r="G20" s="28">
        <v>0</v>
      </c>
      <c r="H20" s="28">
        <v>695.6</v>
      </c>
      <c r="I20" s="28">
        <v>699.78</v>
      </c>
      <c r="J20" s="112">
        <v>0</v>
      </c>
      <c r="K20" s="28">
        <f t="shared" si="0"/>
        <v>0</v>
      </c>
      <c r="L20" s="28"/>
      <c r="M20" s="28"/>
      <c r="N20" s="28" t="str">
        <f t="shared" si="1"/>
        <v/>
      </c>
      <c r="O20" s="28" t="str">
        <f t="shared" si="2"/>
        <v/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f t="shared" si="3"/>
        <v>0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0</v>
      </c>
      <c r="C21" s="28">
        <v>1293.44</v>
      </c>
      <c r="D21" s="28">
        <v>0</v>
      </c>
      <c r="E21" s="28">
        <v>0</v>
      </c>
      <c r="F21" s="28">
        <v>0</v>
      </c>
      <c r="G21" s="28">
        <v>0</v>
      </c>
      <c r="H21" s="28">
        <v>683.13</v>
      </c>
      <c r="I21" s="28">
        <v>712.47</v>
      </c>
      <c r="J21" s="112">
        <v>0</v>
      </c>
      <c r="K21" s="28">
        <f t="shared" si="0"/>
        <v>0</v>
      </c>
      <c r="L21" s="28"/>
      <c r="M21" s="28"/>
      <c r="N21" s="28" t="str">
        <f t="shared" si="1"/>
        <v/>
      </c>
      <c r="O21" s="28" t="str">
        <f t="shared" si="2"/>
        <v/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f t="shared" si="3"/>
        <v>0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0</v>
      </c>
      <c r="C22" s="28">
        <v>1277.92</v>
      </c>
      <c r="D22" s="28">
        <v>0</v>
      </c>
      <c r="E22" s="28">
        <v>0</v>
      </c>
      <c r="F22" s="28">
        <v>0</v>
      </c>
      <c r="G22" s="28">
        <v>0</v>
      </c>
      <c r="H22" s="28">
        <v>714.35</v>
      </c>
      <c r="I22" s="28">
        <v>737.45</v>
      </c>
      <c r="J22" s="112">
        <v>0</v>
      </c>
      <c r="K22" s="28">
        <f t="shared" si="0"/>
        <v>0</v>
      </c>
      <c r="L22" s="28"/>
      <c r="M22" s="28"/>
      <c r="N22" s="28" t="str">
        <f t="shared" si="1"/>
        <v/>
      </c>
      <c r="O22" s="28" t="str">
        <f t="shared" si="2"/>
        <v/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f t="shared" si="3"/>
        <v>0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0</v>
      </c>
      <c r="C23" s="28">
        <v>1265.33</v>
      </c>
      <c r="D23" s="28">
        <v>0</v>
      </c>
      <c r="E23" s="28">
        <v>0</v>
      </c>
      <c r="F23" s="28">
        <v>0</v>
      </c>
      <c r="G23" s="28">
        <v>0</v>
      </c>
      <c r="H23" s="28">
        <v>744.07</v>
      </c>
      <c r="I23" s="28">
        <v>753.79</v>
      </c>
      <c r="J23" s="112">
        <v>0</v>
      </c>
      <c r="K23" s="28">
        <f t="shared" si="0"/>
        <v>0</v>
      </c>
      <c r="L23" s="28"/>
      <c r="M23" s="28"/>
      <c r="N23" s="28" t="str">
        <f t="shared" si="1"/>
        <v/>
      </c>
      <c r="O23" s="28" t="str">
        <f t="shared" si="2"/>
        <v/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f t="shared" si="3"/>
        <v>0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0</v>
      </c>
      <c r="C24" s="28">
        <v>1292.48</v>
      </c>
      <c r="D24" s="28">
        <v>0</v>
      </c>
      <c r="E24" s="28">
        <v>0</v>
      </c>
      <c r="F24" s="28">
        <v>0</v>
      </c>
      <c r="G24" s="28">
        <v>0</v>
      </c>
      <c r="H24" s="28">
        <v>705.51</v>
      </c>
      <c r="I24" s="28">
        <v>712.6</v>
      </c>
      <c r="J24" s="112">
        <v>0</v>
      </c>
      <c r="K24" s="28">
        <f t="shared" si="0"/>
        <v>0</v>
      </c>
      <c r="L24" s="28"/>
      <c r="M24" s="28"/>
      <c r="N24" s="28" t="str">
        <f t="shared" si="1"/>
        <v/>
      </c>
      <c r="O24" s="28" t="str">
        <f t="shared" si="2"/>
        <v/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f t="shared" si="3"/>
        <v>0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0</v>
      </c>
      <c r="C25" s="28">
        <v>1287.8699999999999</v>
      </c>
      <c r="D25" s="28">
        <v>0</v>
      </c>
      <c r="E25" s="28">
        <v>0</v>
      </c>
      <c r="F25" s="28">
        <v>0</v>
      </c>
      <c r="G25" s="28">
        <v>0</v>
      </c>
      <c r="H25" s="28">
        <v>718.09</v>
      </c>
      <c r="I25" s="28">
        <v>726.39</v>
      </c>
      <c r="J25" s="112">
        <v>0</v>
      </c>
      <c r="K25" s="28">
        <f t="shared" si="0"/>
        <v>0</v>
      </c>
      <c r="L25" s="28"/>
      <c r="M25" s="28"/>
      <c r="N25" s="28" t="str">
        <f t="shared" si="1"/>
        <v/>
      </c>
      <c r="O25" s="28" t="str">
        <f t="shared" si="2"/>
        <v/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f t="shared" si="3"/>
        <v>0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0</v>
      </c>
      <c r="C26" s="28">
        <v>1276.3499999999999</v>
      </c>
      <c r="D26" s="28">
        <v>0</v>
      </c>
      <c r="E26" s="28">
        <v>0</v>
      </c>
      <c r="F26" s="28">
        <v>0</v>
      </c>
      <c r="G26" s="28">
        <v>0</v>
      </c>
      <c r="H26" s="28">
        <v>724.93</v>
      </c>
      <c r="I26" s="28">
        <v>730.36</v>
      </c>
      <c r="J26" s="112">
        <v>0</v>
      </c>
      <c r="K26" s="28">
        <f t="shared" si="0"/>
        <v>0</v>
      </c>
      <c r="L26" s="28"/>
      <c r="M26" s="28"/>
      <c r="N26" s="28" t="str">
        <f t="shared" si="1"/>
        <v/>
      </c>
      <c r="O26" s="28" t="str">
        <f t="shared" si="2"/>
        <v/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f t="shared" si="3"/>
        <v>0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0</v>
      </c>
      <c r="C27" s="28">
        <v>1318.13</v>
      </c>
      <c r="D27" s="28">
        <v>0</v>
      </c>
      <c r="E27" s="28">
        <v>0</v>
      </c>
      <c r="F27" s="28">
        <v>0</v>
      </c>
      <c r="G27" s="28">
        <v>0</v>
      </c>
      <c r="H27" s="28">
        <v>729.06</v>
      </c>
      <c r="I27" s="28">
        <v>731.39</v>
      </c>
      <c r="J27" s="112">
        <v>0</v>
      </c>
      <c r="K27" s="28">
        <f t="shared" si="0"/>
        <v>0</v>
      </c>
      <c r="L27" s="28"/>
      <c r="M27" s="28"/>
      <c r="N27" s="28" t="str">
        <f t="shared" si="1"/>
        <v/>
      </c>
      <c r="O27" s="28" t="str">
        <f t="shared" si="2"/>
        <v/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f t="shared" si="3"/>
        <v>0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0</v>
      </c>
      <c r="C28" s="28">
        <v>1315.92</v>
      </c>
      <c r="D28" s="28">
        <v>0</v>
      </c>
      <c r="E28" s="28">
        <v>0</v>
      </c>
      <c r="F28" s="28">
        <v>0</v>
      </c>
      <c r="G28" s="28">
        <v>0</v>
      </c>
      <c r="H28" s="28">
        <v>718.74</v>
      </c>
      <c r="I28" s="28">
        <v>719.49</v>
      </c>
      <c r="J28" s="112">
        <v>0</v>
      </c>
      <c r="K28" s="28">
        <f t="shared" si="0"/>
        <v>0</v>
      </c>
      <c r="L28" s="28"/>
      <c r="M28" s="28"/>
      <c r="N28" s="28" t="str">
        <f t="shared" si="1"/>
        <v/>
      </c>
      <c r="O28" s="28" t="str">
        <f t="shared" si="2"/>
        <v/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f t="shared" si="3"/>
        <v>0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0</v>
      </c>
      <c r="C29" s="28">
        <v>1328.9</v>
      </c>
      <c r="D29" s="28">
        <v>0</v>
      </c>
      <c r="E29" s="28">
        <v>0</v>
      </c>
      <c r="F29" s="28">
        <v>0</v>
      </c>
      <c r="G29" s="28">
        <v>0</v>
      </c>
      <c r="H29" s="28">
        <v>700.12</v>
      </c>
      <c r="I29" s="28">
        <v>704.43</v>
      </c>
      <c r="J29" s="112">
        <v>0</v>
      </c>
      <c r="K29" s="28">
        <f t="shared" si="0"/>
        <v>0</v>
      </c>
      <c r="L29" s="28"/>
      <c r="M29" s="28"/>
      <c r="N29" s="28" t="str">
        <f t="shared" si="1"/>
        <v/>
      </c>
      <c r="O29" s="28" t="str">
        <f t="shared" si="2"/>
        <v/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f t="shared" si="3"/>
        <v>0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0</v>
      </c>
      <c r="C30" s="28">
        <v>1359.34</v>
      </c>
      <c r="D30" s="28">
        <v>0</v>
      </c>
      <c r="E30" s="28">
        <v>0</v>
      </c>
      <c r="F30" s="28">
        <v>0</v>
      </c>
      <c r="G30" s="28">
        <v>0</v>
      </c>
      <c r="H30" s="28">
        <v>678.94</v>
      </c>
      <c r="I30" s="28">
        <v>678.76</v>
      </c>
      <c r="J30" s="112">
        <v>0</v>
      </c>
      <c r="K30" s="28">
        <f t="shared" si="0"/>
        <v>0</v>
      </c>
      <c r="L30" s="28"/>
      <c r="M30" s="28"/>
      <c r="N30" s="28" t="str">
        <f t="shared" si="1"/>
        <v/>
      </c>
      <c r="O30" s="28" t="str">
        <f t="shared" si="2"/>
        <v/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f t="shared" si="3"/>
        <v>0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0</v>
      </c>
      <c r="C31" s="28">
        <v>1350.74</v>
      </c>
      <c r="D31" s="28">
        <v>0</v>
      </c>
      <c r="E31" s="28">
        <v>0</v>
      </c>
      <c r="F31" s="28">
        <v>0</v>
      </c>
      <c r="G31" s="28">
        <v>0</v>
      </c>
      <c r="H31" s="28">
        <v>676.2</v>
      </c>
      <c r="I31" s="28">
        <v>675.08</v>
      </c>
      <c r="J31" s="112">
        <v>0</v>
      </c>
      <c r="K31" s="28">
        <f t="shared" si="0"/>
        <v>0</v>
      </c>
      <c r="L31" s="28"/>
      <c r="M31" s="28"/>
      <c r="N31" s="28" t="str">
        <f t="shared" si="1"/>
        <v/>
      </c>
      <c r="O31" s="28" t="str">
        <f t="shared" si="2"/>
        <v/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f t="shared" si="3"/>
        <v>0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0</v>
      </c>
      <c r="C32" s="28">
        <v>1359.15</v>
      </c>
      <c r="D32" s="28">
        <v>0</v>
      </c>
      <c r="E32" s="28">
        <v>0</v>
      </c>
      <c r="F32" s="28">
        <v>0</v>
      </c>
      <c r="G32" s="28">
        <v>0</v>
      </c>
      <c r="H32" s="28">
        <v>660.05</v>
      </c>
      <c r="I32" s="28">
        <v>657.54</v>
      </c>
      <c r="J32" s="112">
        <v>0</v>
      </c>
      <c r="K32" s="28">
        <f t="shared" si="0"/>
        <v>0</v>
      </c>
      <c r="L32" s="28"/>
      <c r="M32" s="28"/>
      <c r="N32" s="28" t="str">
        <f t="shared" si="1"/>
        <v/>
      </c>
      <c r="O32" s="28" t="str">
        <f t="shared" si="2"/>
        <v/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f t="shared" si="3"/>
        <v>0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0</v>
      </c>
      <c r="C33" s="28">
        <v>1355.21</v>
      </c>
      <c r="D33" s="28">
        <v>0</v>
      </c>
      <c r="E33" s="28">
        <v>0</v>
      </c>
      <c r="F33" s="28">
        <v>0</v>
      </c>
      <c r="G33" s="28">
        <v>0</v>
      </c>
      <c r="H33" s="28">
        <v>658.13</v>
      </c>
      <c r="I33" s="28">
        <v>655.61</v>
      </c>
      <c r="J33" s="112">
        <v>0</v>
      </c>
      <c r="K33" s="28">
        <f t="shared" si="0"/>
        <v>0</v>
      </c>
      <c r="L33" s="28"/>
      <c r="M33" s="28"/>
      <c r="N33" s="28" t="str">
        <f t="shared" si="1"/>
        <v/>
      </c>
      <c r="O33" s="28" t="str">
        <f t="shared" si="2"/>
        <v/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f t="shared" si="3"/>
        <v>0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0</v>
      </c>
      <c r="C34" s="28">
        <v>1263.97</v>
      </c>
      <c r="D34" s="28">
        <v>0</v>
      </c>
      <c r="E34" s="28">
        <v>0</v>
      </c>
      <c r="F34" s="28">
        <v>0</v>
      </c>
      <c r="G34" s="28">
        <v>0</v>
      </c>
      <c r="H34" s="28">
        <v>749.28</v>
      </c>
      <c r="I34" s="28">
        <v>747.21</v>
      </c>
      <c r="J34" s="112">
        <v>0</v>
      </c>
      <c r="K34" s="28">
        <f t="shared" si="0"/>
        <v>0</v>
      </c>
      <c r="L34" s="28"/>
      <c r="M34" s="28"/>
      <c r="N34" s="28" t="str">
        <f t="shared" si="1"/>
        <v/>
      </c>
      <c r="O34" s="28" t="str">
        <f t="shared" si="2"/>
        <v/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f t="shared" si="3"/>
        <v>0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0</v>
      </c>
      <c r="C35" s="28">
        <v>1270.0300000000002</v>
      </c>
      <c r="D35" s="28">
        <v>0</v>
      </c>
      <c r="E35" s="28">
        <v>0</v>
      </c>
      <c r="F35" s="28">
        <v>0</v>
      </c>
      <c r="G35" s="28">
        <v>0</v>
      </c>
      <c r="H35" s="28">
        <v>753.22</v>
      </c>
      <c r="I35" s="28">
        <v>751.8</v>
      </c>
      <c r="J35" s="112">
        <v>0</v>
      </c>
      <c r="K35" s="116">
        <f t="shared" si="0"/>
        <v>0</v>
      </c>
      <c r="L35" s="28"/>
      <c r="M35" s="28"/>
      <c r="N35" s="28" t="str">
        <f t="shared" si="1"/>
        <v/>
      </c>
      <c r="O35" s="28" t="str">
        <f t="shared" si="2"/>
        <v/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f t="shared" si="3"/>
        <v>0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0</v>
      </c>
      <c r="C36" s="35">
        <f t="shared" ref="C36:J36" si="4">SUM(C12:C35)</f>
        <v>31647.410000000003</v>
      </c>
      <c r="D36" s="35">
        <f t="shared" si="4"/>
        <v>0</v>
      </c>
      <c r="E36" s="35">
        <f t="shared" si="4"/>
        <v>0</v>
      </c>
      <c r="F36" s="35">
        <f t="shared" si="4"/>
        <v>0</v>
      </c>
      <c r="G36" s="35">
        <f t="shared" si="4"/>
        <v>0</v>
      </c>
      <c r="H36" s="35">
        <f t="shared" si="4"/>
        <v>16645.75</v>
      </c>
      <c r="I36" s="35">
        <f t="shared" si="4"/>
        <v>16718.48</v>
      </c>
      <c r="J36" s="35">
        <f t="shared" si="4"/>
        <v>0</v>
      </c>
      <c r="K36" s="36"/>
      <c r="L36" s="37"/>
      <c r="M36" s="38"/>
      <c r="N36" s="35" t="str">
        <f>IFERROR(AVERAGE(N12:N35),"")</f>
        <v/>
      </c>
      <c r="O36" s="39">
        <f t="shared" ref="O36:U36" si="5">SUM(O12:O35)</f>
        <v>0</v>
      </c>
      <c r="P36" s="39">
        <f t="shared" si="5"/>
        <v>0</v>
      </c>
      <c r="Q36" s="39">
        <f t="shared" si="5"/>
        <v>0</v>
      </c>
      <c r="R36" s="39">
        <f t="shared" si="5"/>
        <v>0</v>
      </c>
      <c r="S36" s="39">
        <f t="shared" si="5"/>
        <v>0</v>
      </c>
      <c r="T36" s="39">
        <f t="shared" si="5"/>
        <v>0</v>
      </c>
      <c r="U36" s="39">
        <f t="shared" si="5"/>
        <v>0</v>
      </c>
      <c r="V36" s="39">
        <f>SUM(V12:V35)</f>
        <v>0</v>
      </c>
      <c r="W36" s="40">
        <f>SUM(W12:W35)</f>
        <v>0</v>
      </c>
      <c r="X36" s="40"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X36</f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33364.229999999996</v>
      </c>
      <c r="J41" s="41"/>
      <c r="K41" s="13" t="s">
        <v>59</v>
      </c>
      <c r="L41" s="113">
        <v>32598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0</v>
      </c>
      <c r="B42" s="57">
        <v>0</v>
      </c>
      <c r="C42" s="57">
        <v>0</v>
      </c>
      <c r="D42" s="57">
        <v>1</v>
      </c>
      <c r="E42" s="58"/>
      <c r="F42" s="58"/>
      <c r="G42" s="41"/>
      <c r="H42" s="217"/>
      <c r="I42" s="219"/>
      <c r="J42" s="41"/>
      <c r="K42" s="59" t="s">
        <v>60</v>
      </c>
      <c r="L42" s="114">
        <v>11930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 t="str">
        <f>IFERROR(3412.14/N36,"")</f>
        <v/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26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David Ortiz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272510</v>
      </c>
      <c r="C58" s="28">
        <v>0</v>
      </c>
      <c r="D58" s="81">
        <v>27118.49</v>
      </c>
      <c r="E58" s="82">
        <v>236.85</v>
      </c>
      <c r="F58" s="83">
        <v>0</v>
      </c>
      <c r="G58" s="82">
        <v>240</v>
      </c>
      <c r="H58" s="84">
        <f t="shared" ref="H58:H81" si="6">IF(G58=0,0,100*(E58-G58)/G58)</f>
        <v>-1.3125000000000024</v>
      </c>
      <c r="I58" s="85"/>
      <c r="J58" s="85" t="s">
        <v>101</v>
      </c>
      <c r="K58" s="86">
        <f t="shared" ref="K58:K81" si="7">IFERROR(U58*1000*2.2*$K$92/E58/1000,"")</f>
        <v>10070.925649145029</v>
      </c>
      <c r="L58" s="87" t="str">
        <f t="shared" ref="L58:L81" si="8">IF(OR(H58&gt;5,H58&lt;-5),E58-G58,"")</f>
        <v/>
      </c>
      <c r="M58" s="88">
        <v>10.65</v>
      </c>
      <c r="N58" s="88">
        <v>17.440000000000001</v>
      </c>
      <c r="O58" s="88">
        <v>17.66</v>
      </c>
      <c r="P58" s="88">
        <v>14.72</v>
      </c>
      <c r="Q58" s="88">
        <v>14.78</v>
      </c>
      <c r="R58" s="88">
        <v>12.32</v>
      </c>
      <c r="S58" s="88">
        <v>13.95</v>
      </c>
      <c r="T58" s="88">
        <v>19.03</v>
      </c>
      <c r="U58" s="28">
        <f>+SUM(M58:T58)</f>
        <v>120.55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274150</v>
      </c>
      <c r="C59" s="28">
        <v>0</v>
      </c>
      <c r="D59" s="81">
        <v>28648.16</v>
      </c>
      <c r="E59" s="82">
        <v>238.63</v>
      </c>
      <c r="F59" s="82">
        <v>0</v>
      </c>
      <c r="G59" s="82">
        <v>240</v>
      </c>
      <c r="H59" s="91">
        <f t="shared" si="6"/>
        <v>-0.57083333333333519</v>
      </c>
      <c r="I59" s="85"/>
      <c r="J59" s="85" t="s">
        <v>101</v>
      </c>
      <c r="K59" s="86">
        <f t="shared" si="7"/>
        <v>9989.9998491388342</v>
      </c>
      <c r="L59" s="87" t="str">
        <f t="shared" si="8"/>
        <v/>
      </c>
      <c r="M59" s="88">
        <v>10.08</v>
      </c>
      <c r="N59" s="88">
        <v>16.95</v>
      </c>
      <c r="O59" s="88">
        <v>17.11</v>
      </c>
      <c r="P59" s="88">
        <v>15.96</v>
      </c>
      <c r="Q59" s="88">
        <v>14.89</v>
      </c>
      <c r="R59" s="88">
        <v>12.32</v>
      </c>
      <c r="S59" s="88">
        <v>14.05</v>
      </c>
      <c r="T59" s="88">
        <v>19.12</v>
      </c>
      <c r="U59" s="28">
        <f t="shared" ref="U59:U81" si="9">+SUM(M59:T59)</f>
        <v>120.48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274250</v>
      </c>
      <c r="C60" s="28">
        <v>0</v>
      </c>
      <c r="D60" s="81">
        <v>28729.26</v>
      </c>
      <c r="E60" s="82">
        <v>238.83</v>
      </c>
      <c r="F60" s="82">
        <v>0</v>
      </c>
      <c r="G60" s="82">
        <v>240</v>
      </c>
      <c r="H60" s="91">
        <f t="shared" si="6"/>
        <v>-0.48749999999999477</v>
      </c>
      <c r="I60" s="85"/>
      <c r="J60" s="85" t="s">
        <v>101</v>
      </c>
      <c r="K60" s="86">
        <f t="shared" si="7"/>
        <v>9999.8608215048371</v>
      </c>
      <c r="L60" s="87" t="str">
        <f t="shared" si="8"/>
        <v/>
      </c>
      <c r="M60" s="88">
        <v>10.039999999999999</v>
      </c>
      <c r="N60" s="88">
        <v>16.96</v>
      </c>
      <c r="O60" s="88">
        <v>17.260000000000002</v>
      </c>
      <c r="P60" s="88">
        <v>16.079999999999998</v>
      </c>
      <c r="Q60" s="88">
        <v>14.95</v>
      </c>
      <c r="R60" s="88">
        <v>12.29</v>
      </c>
      <c r="S60" s="88">
        <v>14</v>
      </c>
      <c r="T60" s="88">
        <v>19.12</v>
      </c>
      <c r="U60" s="28">
        <f t="shared" si="9"/>
        <v>120.70000000000002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274270</v>
      </c>
      <c r="C61" s="28">
        <v>0</v>
      </c>
      <c r="D61" s="81">
        <v>29400.84</v>
      </c>
      <c r="E61" s="82">
        <v>238.81</v>
      </c>
      <c r="F61" s="82">
        <v>0</v>
      </c>
      <c r="G61" s="82">
        <v>240</v>
      </c>
      <c r="H61" s="91">
        <f t="shared" si="6"/>
        <v>-0.4958333333333324</v>
      </c>
      <c r="I61" s="85"/>
      <c r="J61" s="85" t="s">
        <v>101</v>
      </c>
      <c r="K61" s="86">
        <f t="shared" si="7"/>
        <v>9917.8424689083386</v>
      </c>
      <c r="L61" s="87" t="str">
        <f t="shared" si="8"/>
        <v/>
      </c>
      <c r="M61" s="88">
        <v>10</v>
      </c>
      <c r="N61" s="88">
        <v>16.829999999999998</v>
      </c>
      <c r="O61" s="88">
        <v>17.11</v>
      </c>
      <c r="P61" s="88">
        <v>15.9</v>
      </c>
      <c r="Q61" s="88">
        <v>14.62</v>
      </c>
      <c r="R61" s="88">
        <v>12.24</v>
      </c>
      <c r="S61" s="88">
        <v>13.91</v>
      </c>
      <c r="T61" s="88">
        <v>19.09</v>
      </c>
      <c r="U61" s="28">
        <f t="shared" si="9"/>
        <v>119.69999999999999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274310</v>
      </c>
      <c r="C62" s="28">
        <v>0</v>
      </c>
      <c r="D62" s="81">
        <v>30603.32</v>
      </c>
      <c r="E62" s="82">
        <v>238.72</v>
      </c>
      <c r="F62" s="82">
        <v>0</v>
      </c>
      <c r="G62" s="82">
        <v>240</v>
      </c>
      <c r="H62" s="91">
        <f t="shared" si="6"/>
        <v>-0.53333333333333377</v>
      </c>
      <c r="I62" s="85"/>
      <c r="J62" s="85" t="s">
        <v>101</v>
      </c>
      <c r="K62" s="86">
        <f t="shared" si="7"/>
        <v>9908.3196715817685</v>
      </c>
      <c r="L62" s="87" t="str">
        <f t="shared" si="8"/>
        <v/>
      </c>
      <c r="M62" s="88">
        <v>9.93</v>
      </c>
      <c r="N62" s="88">
        <v>16.809999999999999</v>
      </c>
      <c r="O62" s="88">
        <v>17.07</v>
      </c>
      <c r="P62" s="88">
        <v>15.94</v>
      </c>
      <c r="Q62" s="88">
        <v>14.62</v>
      </c>
      <c r="R62" s="88">
        <v>12.3</v>
      </c>
      <c r="S62" s="88">
        <v>13.91</v>
      </c>
      <c r="T62" s="88">
        <v>18.96</v>
      </c>
      <c r="U62" s="28">
        <f t="shared" si="9"/>
        <v>119.53999999999999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274170</v>
      </c>
      <c r="C63" s="28">
        <v>0</v>
      </c>
      <c r="D63" s="81">
        <v>30952.83</v>
      </c>
      <c r="E63" s="82">
        <v>238.37</v>
      </c>
      <c r="F63" s="82">
        <v>0</v>
      </c>
      <c r="G63" s="82">
        <v>240</v>
      </c>
      <c r="H63" s="91">
        <f t="shared" si="6"/>
        <v>-0.67916666666666481</v>
      </c>
      <c r="I63" s="85"/>
      <c r="J63" s="85" t="s">
        <v>101</v>
      </c>
      <c r="K63" s="86">
        <f t="shared" si="7"/>
        <v>9908.756622058143</v>
      </c>
      <c r="L63" s="87" t="str">
        <f t="shared" si="8"/>
        <v/>
      </c>
      <c r="M63" s="88">
        <v>9.94</v>
      </c>
      <c r="N63" s="88">
        <v>16.78</v>
      </c>
      <c r="O63" s="88">
        <v>17.09</v>
      </c>
      <c r="P63" s="88">
        <v>15.91</v>
      </c>
      <c r="Q63" s="88">
        <v>14.67</v>
      </c>
      <c r="R63" s="88">
        <v>12.29</v>
      </c>
      <c r="S63" s="88">
        <v>13.78</v>
      </c>
      <c r="T63" s="88">
        <v>18.91</v>
      </c>
      <c r="U63" s="28">
        <f t="shared" si="9"/>
        <v>119.37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274200</v>
      </c>
      <c r="C64" s="28">
        <v>0</v>
      </c>
      <c r="D64" s="81">
        <v>23136.11</v>
      </c>
      <c r="E64" s="82">
        <v>238.48</v>
      </c>
      <c r="F64" s="82">
        <v>0</v>
      </c>
      <c r="G64" s="82">
        <v>240</v>
      </c>
      <c r="H64" s="91">
        <f t="shared" si="6"/>
        <v>-0.63333333333333763</v>
      </c>
      <c r="I64" s="85"/>
      <c r="J64" s="85" t="s">
        <v>101</v>
      </c>
      <c r="K64" s="86">
        <f t="shared" si="7"/>
        <v>9861.8712177121797</v>
      </c>
      <c r="L64" s="87" t="str">
        <f t="shared" si="8"/>
        <v/>
      </c>
      <c r="M64" s="88">
        <v>9.89</v>
      </c>
      <c r="N64" s="88">
        <v>16.71</v>
      </c>
      <c r="O64" s="88">
        <v>17.010000000000002</v>
      </c>
      <c r="P64" s="88">
        <v>15.92</v>
      </c>
      <c r="Q64" s="88">
        <v>14.5</v>
      </c>
      <c r="R64" s="88">
        <v>12.19</v>
      </c>
      <c r="S64" s="88">
        <v>13.76</v>
      </c>
      <c r="T64" s="88">
        <v>18.88</v>
      </c>
      <c r="U64" s="28">
        <f t="shared" si="9"/>
        <v>118.86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274260</v>
      </c>
      <c r="C65" s="28">
        <v>0</v>
      </c>
      <c r="D65" s="81">
        <v>23839.91</v>
      </c>
      <c r="E65" s="82">
        <v>238.16</v>
      </c>
      <c r="F65" s="82">
        <v>0</v>
      </c>
      <c r="G65" s="82">
        <v>240</v>
      </c>
      <c r="H65" s="91">
        <f t="shared" si="6"/>
        <v>-0.76666666666666805</v>
      </c>
      <c r="I65" s="85"/>
      <c r="J65" s="85" t="s">
        <v>101</v>
      </c>
      <c r="K65" s="86">
        <f t="shared" si="7"/>
        <v>9880.9377057440397</v>
      </c>
      <c r="L65" s="87" t="str">
        <f t="shared" si="8"/>
        <v/>
      </c>
      <c r="M65" s="88">
        <v>9.93</v>
      </c>
      <c r="N65" s="88">
        <v>16.72</v>
      </c>
      <c r="O65" s="88">
        <v>17.02</v>
      </c>
      <c r="P65" s="88">
        <v>15.81</v>
      </c>
      <c r="Q65" s="88">
        <v>14.58</v>
      </c>
      <c r="R65" s="88">
        <v>12.26</v>
      </c>
      <c r="S65" s="88">
        <v>13.78</v>
      </c>
      <c r="T65" s="88">
        <v>18.829999999999998</v>
      </c>
      <c r="U65" s="28">
        <f t="shared" si="9"/>
        <v>118.93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274220</v>
      </c>
      <c r="C66" s="28">
        <v>0</v>
      </c>
      <c r="D66" s="81">
        <v>25071.74</v>
      </c>
      <c r="E66" s="82">
        <v>237.91</v>
      </c>
      <c r="F66" s="82">
        <v>0</v>
      </c>
      <c r="G66" s="82">
        <v>240</v>
      </c>
      <c r="H66" s="91">
        <f t="shared" si="6"/>
        <v>-0.87083333333333479</v>
      </c>
      <c r="I66" s="85"/>
      <c r="J66" s="85" t="s">
        <v>101</v>
      </c>
      <c r="K66" s="86">
        <f t="shared" si="7"/>
        <v>9921.2617040057139</v>
      </c>
      <c r="L66" s="87" t="str">
        <f t="shared" si="8"/>
        <v/>
      </c>
      <c r="M66" s="88">
        <v>9.89</v>
      </c>
      <c r="N66" s="88">
        <v>16.77</v>
      </c>
      <c r="O66" s="88">
        <v>17.079999999999998</v>
      </c>
      <c r="P66" s="88">
        <v>15.79</v>
      </c>
      <c r="Q66" s="88">
        <v>14.61</v>
      </c>
      <c r="R66" s="88">
        <v>12.27</v>
      </c>
      <c r="S66" s="88">
        <v>13.89</v>
      </c>
      <c r="T66" s="88">
        <v>18.989999999999998</v>
      </c>
      <c r="U66" s="28">
        <f t="shared" si="9"/>
        <v>119.28999999999998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274160</v>
      </c>
      <c r="C67" s="28">
        <v>0</v>
      </c>
      <c r="D67" s="81">
        <v>26585.29</v>
      </c>
      <c r="E67" s="82">
        <v>237.82</v>
      </c>
      <c r="F67" s="82">
        <v>0</v>
      </c>
      <c r="G67" s="82">
        <v>270</v>
      </c>
      <c r="H67" s="91">
        <f t="shared" si="6"/>
        <v>-11.918518518518521</v>
      </c>
      <c r="I67" s="85"/>
      <c r="J67" s="85" t="s">
        <v>101</v>
      </c>
      <c r="K67" s="86">
        <f t="shared" si="7"/>
        <v>9950.8085106382987</v>
      </c>
      <c r="L67" s="87">
        <f t="shared" si="8"/>
        <v>-32.180000000000007</v>
      </c>
      <c r="M67" s="88">
        <v>9.98</v>
      </c>
      <c r="N67" s="88">
        <v>16.8</v>
      </c>
      <c r="O67" s="88">
        <v>17.16</v>
      </c>
      <c r="P67" s="88">
        <v>15.94</v>
      </c>
      <c r="Q67" s="88">
        <v>14.6</v>
      </c>
      <c r="R67" s="88">
        <v>12.23</v>
      </c>
      <c r="S67" s="88">
        <v>13.89</v>
      </c>
      <c r="T67" s="88">
        <v>19</v>
      </c>
      <c r="U67" s="28">
        <f t="shared" si="9"/>
        <v>119.6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274250</v>
      </c>
      <c r="C68" s="28">
        <v>0</v>
      </c>
      <c r="D68" s="81">
        <v>25385.82</v>
      </c>
      <c r="E68" s="82">
        <v>238.06</v>
      </c>
      <c r="F68" s="82">
        <v>0</v>
      </c>
      <c r="G68" s="82">
        <v>270</v>
      </c>
      <c r="H68" s="91">
        <f t="shared" si="6"/>
        <v>-11.829629629629629</v>
      </c>
      <c r="I68" s="85"/>
      <c r="J68" s="85" t="s">
        <v>101</v>
      </c>
      <c r="K68" s="86">
        <f t="shared" si="7"/>
        <v>9954.0753087456942</v>
      </c>
      <c r="L68" s="87">
        <f t="shared" si="8"/>
        <v>-31.939999999999998</v>
      </c>
      <c r="M68" s="88">
        <v>9.98</v>
      </c>
      <c r="N68" s="88">
        <v>16.809999999999999</v>
      </c>
      <c r="O68" s="88">
        <v>17.22</v>
      </c>
      <c r="P68" s="92">
        <v>16.04</v>
      </c>
      <c r="Q68" s="88">
        <v>14.63</v>
      </c>
      <c r="R68" s="88">
        <v>12.27</v>
      </c>
      <c r="S68" s="88">
        <v>13.83</v>
      </c>
      <c r="T68" s="88">
        <v>18.98</v>
      </c>
      <c r="U68" s="28">
        <f t="shared" si="9"/>
        <v>119.75999999999999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274140</v>
      </c>
      <c r="C69" s="28">
        <v>0</v>
      </c>
      <c r="D69" s="81">
        <v>24999.54</v>
      </c>
      <c r="E69" s="82">
        <v>238.19</v>
      </c>
      <c r="F69" s="82">
        <v>0</v>
      </c>
      <c r="G69" s="82">
        <v>270</v>
      </c>
      <c r="H69" s="91">
        <f t="shared" si="6"/>
        <v>-11.781481481481482</v>
      </c>
      <c r="I69" s="85"/>
      <c r="J69" s="85" t="s">
        <v>101</v>
      </c>
      <c r="K69" s="86">
        <f t="shared" si="7"/>
        <v>9941.9968260632268</v>
      </c>
      <c r="L69" s="87">
        <f t="shared" si="8"/>
        <v>-31.810000000000002</v>
      </c>
      <c r="M69" s="88">
        <v>9.9600000000000009</v>
      </c>
      <c r="N69" s="88">
        <v>16.8</v>
      </c>
      <c r="O69" s="88">
        <v>17.09</v>
      </c>
      <c r="P69" s="92">
        <v>16.02</v>
      </c>
      <c r="Q69" s="88">
        <v>14.65</v>
      </c>
      <c r="R69" s="88">
        <v>12.37</v>
      </c>
      <c r="S69" s="88">
        <v>13.86</v>
      </c>
      <c r="T69" s="88">
        <v>18.93</v>
      </c>
      <c r="U69" s="28">
        <f t="shared" si="9"/>
        <v>119.68</v>
      </c>
      <c r="V69" s="81">
        <v>5.4333333333333336</v>
      </c>
      <c r="W69" s="81">
        <v>0</v>
      </c>
      <c r="X69" s="89"/>
      <c r="Y69"/>
    </row>
    <row r="70" spans="1:25" ht="16.5" x14ac:dyDescent="0.3">
      <c r="A70" s="90">
        <v>13</v>
      </c>
      <c r="B70" s="28">
        <v>275340</v>
      </c>
      <c r="C70" s="28">
        <v>0</v>
      </c>
      <c r="D70" s="81">
        <v>28359.599999999999</v>
      </c>
      <c r="E70" s="82">
        <v>239.25</v>
      </c>
      <c r="F70" s="82">
        <v>0</v>
      </c>
      <c r="G70" s="82">
        <v>270</v>
      </c>
      <c r="H70" s="91">
        <f t="shared" si="6"/>
        <v>-11.388888888888889</v>
      </c>
      <c r="I70" s="85"/>
      <c r="J70" s="85" t="s">
        <v>101</v>
      </c>
      <c r="K70" s="86">
        <f t="shared" si="7"/>
        <v>9940.9544827586215</v>
      </c>
      <c r="L70" s="87">
        <f t="shared" si="8"/>
        <v>-30.75</v>
      </c>
      <c r="M70" s="88">
        <v>10.050000000000001</v>
      </c>
      <c r="N70" s="88">
        <v>16.87</v>
      </c>
      <c r="O70" s="88">
        <v>17.25</v>
      </c>
      <c r="P70" s="92">
        <v>16.05</v>
      </c>
      <c r="Q70" s="88">
        <v>14.65</v>
      </c>
      <c r="R70" s="88">
        <v>12.35</v>
      </c>
      <c r="S70" s="88">
        <v>13.94</v>
      </c>
      <c r="T70" s="88">
        <v>19.04</v>
      </c>
      <c r="U70" s="28">
        <f t="shared" si="9"/>
        <v>120.19999999999999</v>
      </c>
      <c r="V70" s="81">
        <v>5.4333333333333336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275550</v>
      </c>
      <c r="C71" s="28">
        <v>0</v>
      </c>
      <c r="D71" s="81">
        <v>25640.85</v>
      </c>
      <c r="E71" s="82">
        <v>239.39</v>
      </c>
      <c r="F71" s="82">
        <v>0</v>
      </c>
      <c r="G71" s="82">
        <v>270</v>
      </c>
      <c r="H71" s="91">
        <f t="shared" si="6"/>
        <v>-11.337037037037042</v>
      </c>
      <c r="I71" s="85"/>
      <c r="J71" s="85" t="s">
        <v>101</v>
      </c>
      <c r="K71" s="86">
        <f t="shared" si="7"/>
        <v>9885.5477672417401</v>
      </c>
      <c r="L71" s="87">
        <f t="shared" si="8"/>
        <v>-30.610000000000014</v>
      </c>
      <c r="M71" s="88">
        <v>9.98</v>
      </c>
      <c r="N71" s="88">
        <v>16.78</v>
      </c>
      <c r="O71" s="88">
        <v>17.079999999999998</v>
      </c>
      <c r="P71" s="92">
        <v>15.92</v>
      </c>
      <c r="Q71" s="88">
        <v>14.68</v>
      </c>
      <c r="R71" s="88">
        <v>12.3</v>
      </c>
      <c r="S71" s="88">
        <v>13.87</v>
      </c>
      <c r="T71" s="88">
        <v>18.989999999999998</v>
      </c>
      <c r="U71" s="28">
        <f t="shared" si="9"/>
        <v>119.6</v>
      </c>
      <c r="V71" s="81">
        <v>5.4333333333333336</v>
      </c>
      <c r="W71" s="81">
        <v>0</v>
      </c>
      <c r="X71" s="89"/>
      <c r="Y71"/>
    </row>
    <row r="72" spans="1:25" ht="16.5" x14ac:dyDescent="0.3">
      <c r="A72" s="90">
        <v>15</v>
      </c>
      <c r="B72" s="28">
        <v>276640</v>
      </c>
      <c r="C72" s="28">
        <v>0</v>
      </c>
      <c r="D72" s="81">
        <v>24512.37</v>
      </c>
      <c r="E72" s="82">
        <v>240.31</v>
      </c>
      <c r="F72" s="82">
        <v>0</v>
      </c>
      <c r="G72" s="82">
        <v>270</v>
      </c>
      <c r="H72" s="91">
        <f t="shared" si="6"/>
        <v>-10.996296296296297</v>
      </c>
      <c r="I72" s="85"/>
      <c r="J72" s="85" t="s">
        <v>101</v>
      </c>
      <c r="K72" s="86">
        <f t="shared" si="7"/>
        <v>9911.102808871874</v>
      </c>
      <c r="L72" s="87">
        <f t="shared" si="8"/>
        <v>-29.689999999999998</v>
      </c>
      <c r="M72" s="88">
        <v>10.07</v>
      </c>
      <c r="N72" s="88">
        <v>16.920000000000002</v>
      </c>
      <c r="O72" s="88">
        <v>17.2</v>
      </c>
      <c r="P72" s="92">
        <v>15.98</v>
      </c>
      <c r="Q72" s="88">
        <v>14.77</v>
      </c>
      <c r="R72" s="88">
        <v>12.36</v>
      </c>
      <c r="S72" s="88">
        <v>13.93</v>
      </c>
      <c r="T72" s="88">
        <v>19.14</v>
      </c>
      <c r="U72" s="28">
        <f t="shared" si="9"/>
        <v>120.36999999999999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278150</v>
      </c>
      <c r="C73" s="28">
        <v>0</v>
      </c>
      <c r="D73" s="81">
        <v>26321.57</v>
      </c>
      <c r="E73" s="82">
        <v>241.9</v>
      </c>
      <c r="F73" s="82">
        <v>0</v>
      </c>
      <c r="G73" s="82">
        <v>270</v>
      </c>
      <c r="H73" s="91">
        <f t="shared" si="6"/>
        <v>-10.407407407407407</v>
      </c>
      <c r="I73" s="85"/>
      <c r="J73" s="85" t="s">
        <v>101</v>
      </c>
      <c r="K73" s="86">
        <f t="shared" si="7"/>
        <v>9942.4784621744548</v>
      </c>
      <c r="L73" s="87">
        <f t="shared" si="8"/>
        <v>-28.099999999999994</v>
      </c>
      <c r="M73" s="88">
        <v>10.18</v>
      </c>
      <c r="N73" s="88">
        <v>17.04</v>
      </c>
      <c r="O73" s="88">
        <v>17.36</v>
      </c>
      <c r="P73" s="88">
        <v>16.21</v>
      </c>
      <c r="Q73" s="88">
        <v>14.99</v>
      </c>
      <c r="R73" s="88">
        <v>12.31</v>
      </c>
      <c r="S73" s="88">
        <v>14.15</v>
      </c>
      <c r="T73" s="88">
        <v>19.309999999999999</v>
      </c>
      <c r="U73" s="28">
        <f t="shared" si="9"/>
        <v>121.55000000000001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279240</v>
      </c>
      <c r="C74" s="28">
        <v>0</v>
      </c>
      <c r="D74" s="81">
        <v>27113.03</v>
      </c>
      <c r="E74" s="82">
        <v>242.65</v>
      </c>
      <c r="F74" s="82">
        <v>0</v>
      </c>
      <c r="G74" s="82">
        <v>270</v>
      </c>
      <c r="H74" s="91">
        <f t="shared" si="6"/>
        <v>-10.129629629629628</v>
      </c>
      <c r="I74" s="85"/>
      <c r="J74" s="85" t="s">
        <v>101</v>
      </c>
      <c r="K74" s="86">
        <f t="shared" si="7"/>
        <v>9959.8588584380796</v>
      </c>
      <c r="L74" s="87">
        <f t="shared" si="8"/>
        <v>-27.349999999999994</v>
      </c>
      <c r="M74" s="88">
        <v>10.220000000000001</v>
      </c>
      <c r="N74" s="88">
        <v>17.11</v>
      </c>
      <c r="O74" s="88">
        <v>17.420000000000002</v>
      </c>
      <c r="P74" s="88">
        <v>16.27</v>
      </c>
      <c r="Q74" s="88">
        <v>15.11</v>
      </c>
      <c r="R74" s="88">
        <v>12.3</v>
      </c>
      <c r="S74" s="88">
        <v>14.28</v>
      </c>
      <c r="T74" s="88">
        <v>19.43</v>
      </c>
      <c r="U74" s="28">
        <f t="shared" si="9"/>
        <v>122.13999999999999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279120</v>
      </c>
      <c r="C75" s="28">
        <v>0</v>
      </c>
      <c r="D75" s="81">
        <v>26771.82</v>
      </c>
      <c r="E75" s="82">
        <v>242.65</v>
      </c>
      <c r="F75" s="82">
        <v>0</v>
      </c>
      <c r="G75" s="82">
        <v>270</v>
      </c>
      <c r="H75" s="91">
        <f t="shared" si="6"/>
        <v>-10.129629629629628</v>
      </c>
      <c r="I75" s="85"/>
      <c r="J75" s="85" t="s">
        <v>101</v>
      </c>
      <c r="K75" s="86">
        <f t="shared" si="7"/>
        <v>9966.3824273645168</v>
      </c>
      <c r="L75" s="87">
        <f t="shared" si="8"/>
        <v>-27.349999999999994</v>
      </c>
      <c r="M75" s="88">
        <v>10.25</v>
      </c>
      <c r="N75" s="88">
        <v>17.12</v>
      </c>
      <c r="O75" s="88">
        <v>17.399999999999999</v>
      </c>
      <c r="P75" s="88">
        <v>16.21</v>
      </c>
      <c r="Q75" s="88">
        <v>15.15</v>
      </c>
      <c r="R75" s="88">
        <v>12.35</v>
      </c>
      <c r="S75" s="88">
        <v>14.27</v>
      </c>
      <c r="T75" s="88">
        <v>19.47</v>
      </c>
      <c r="U75" s="28">
        <f t="shared" si="9"/>
        <v>122.21999999999998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279190</v>
      </c>
      <c r="C76" s="28">
        <v>0</v>
      </c>
      <c r="D76" s="81">
        <v>27113.33</v>
      </c>
      <c r="E76" s="82">
        <v>243.34</v>
      </c>
      <c r="F76" s="82">
        <v>0</v>
      </c>
      <c r="G76" s="82">
        <v>270</v>
      </c>
      <c r="H76" s="91">
        <f t="shared" si="6"/>
        <v>-9.8740740740740716</v>
      </c>
      <c r="I76" s="85"/>
      <c r="J76" s="85" t="s">
        <v>101</v>
      </c>
      <c r="K76" s="86">
        <f t="shared" si="7"/>
        <v>9928.3647571299407</v>
      </c>
      <c r="L76" s="87">
        <f t="shared" si="8"/>
        <v>-26.659999999999997</v>
      </c>
      <c r="M76" s="88">
        <v>10.24</v>
      </c>
      <c r="N76" s="88">
        <v>17.11</v>
      </c>
      <c r="O76" s="88">
        <v>17.37</v>
      </c>
      <c r="P76" s="88">
        <v>16.28</v>
      </c>
      <c r="Q76" s="88">
        <v>15.08</v>
      </c>
      <c r="R76" s="88">
        <v>12.39</v>
      </c>
      <c r="S76" s="88">
        <v>14.24</v>
      </c>
      <c r="T76" s="88">
        <v>19.39</v>
      </c>
      <c r="U76" s="28">
        <f t="shared" si="9"/>
        <v>122.1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279540</v>
      </c>
      <c r="C77" s="28">
        <v>0</v>
      </c>
      <c r="D77" s="81">
        <v>25878.25</v>
      </c>
      <c r="E77" s="82">
        <v>243.77</v>
      </c>
      <c r="F77" s="82">
        <v>0</v>
      </c>
      <c r="G77" s="82">
        <v>270</v>
      </c>
      <c r="H77" s="91">
        <f t="shared" si="6"/>
        <v>-9.7148148148148117</v>
      </c>
      <c r="I77" s="85"/>
      <c r="J77" s="85" t="s">
        <v>101</v>
      </c>
      <c r="K77" s="86">
        <f t="shared" si="7"/>
        <v>9974.1641055092896</v>
      </c>
      <c r="L77" s="87">
        <f t="shared" si="8"/>
        <v>-26.22999999999999</v>
      </c>
      <c r="M77" s="88">
        <v>10.35</v>
      </c>
      <c r="N77" s="88">
        <v>17.27</v>
      </c>
      <c r="O77" s="88">
        <v>17.45</v>
      </c>
      <c r="P77" s="88">
        <v>16.38</v>
      </c>
      <c r="Q77" s="88">
        <v>15.26</v>
      </c>
      <c r="R77" s="88">
        <v>12.24</v>
      </c>
      <c r="S77" s="88">
        <v>14.42</v>
      </c>
      <c r="T77" s="88">
        <v>19.510000000000002</v>
      </c>
      <c r="U77" s="28">
        <f t="shared" si="9"/>
        <v>122.88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281420</v>
      </c>
      <c r="C78" s="28">
        <v>0</v>
      </c>
      <c r="D78" s="81">
        <v>24359.18</v>
      </c>
      <c r="E78" s="82">
        <v>245.01</v>
      </c>
      <c r="F78" s="82">
        <v>0</v>
      </c>
      <c r="G78" s="82">
        <v>270</v>
      </c>
      <c r="H78" s="91">
        <f t="shared" si="6"/>
        <v>-9.2555555555555582</v>
      </c>
      <c r="I78" s="85"/>
      <c r="J78" s="85" t="s">
        <v>101</v>
      </c>
      <c r="K78" s="86">
        <f t="shared" si="7"/>
        <v>9964.0642586016911</v>
      </c>
      <c r="L78" s="87">
        <f t="shared" si="8"/>
        <v>-24.990000000000009</v>
      </c>
      <c r="M78" s="88">
        <v>10.42</v>
      </c>
      <c r="N78" s="88">
        <v>17.329999999999998</v>
      </c>
      <c r="O78" s="88">
        <v>17.48</v>
      </c>
      <c r="P78" s="88">
        <v>16.48</v>
      </c>
      <c r="Q78" s="88">
        <v>15.33</v>
      </c>
      <c r="R78" s="88">
        <v>12.2</v>
      </c>
      <c r="S78" s="88">
        <v>14.5</v>
      </c>
      <c r="T78" s="88">
        <v>19.64</v>
      </c>
      <c r="U78" s="28">
        <f t="shared" si="9"/>
        <v>123.38000000000001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282940</v>
      </c>
      <c r="C79" s="28">
        <v>0</v>
      </c>
      <c r="D79" s="81">
        <v>25634.76</v>
      </c>
      <c r="E79" s="82">
        <v>246.46</v>
      </c>
      <c r="F79" s="82">
        <v>0</v>
      </c>
      <c r="G79" s="82">
        <v>270</v>
      </c>
      <c r="H79" s="91">
        <f t="shared" si="6"/>
        <v>-8.7185185185185148</v>
      </c>
      <c r="I79" s="85"/>
      <c r="J79" s="85" t="s">
        <v>101</v>
      </c>
      <c r="K79" s="86">
        <f t="shared" si="7"/>
        <v>9964.8527793556768</v>
      </c>
      <c r="L79" s="87">
        <f t="shared" si="8"/>
        <v>-23.539999999999992</v>
      </c>
      <c r="M79" s="88">
        <v>10.52</v>
      </c>
      <c r="N79" s="88">
        <v>17.39</v>
      </c>
      <c r="O79" s="88">
        <v>17.649999999999999</v>
      </c>
      <c r="P79" s="88">
        <v>16.38</v>
      </c>
      <c r="Q79" s="88">
        <v>15.12</v>
      </c>
      <c r="R79" s="88">
        <v>12.4</v>
      </c>
      <c r="S79" s="88">
        <v>14.78</v>
      </c>
      <c r="T79" s="88">
        <v>19.88</v>
      </c>
      <c r="U79" s="28">
        <f t="shared" si="9"/>
        <v>124.12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283100</v>
      </c>
      <c r="C80" s="28">
        <v>0</v>
      </c>
      <c r="D80" s="81">
        <v>27784.71</v>
      </c>
      <c r="E80" s="82">
        <v>246.78</v>
      </c>
      <c r="F80" s="82">
        <v>0</v>
      </c>
      <c r="G80" s="82">
        <v>270</v>
      </c>
      <c r="H80" s="91">
        <f t="shared" si="6"/>
        <v>-8.6</v>
      </c>
      <c r="I80" s="85"/>
      <c r="J80" s="85" t="s">
        <v>101</v>
      </c>
      <c r="K80" s="86">
        <f t="shared" si="7"/>
        <v>9935.8953561876988</v>
      </c>
      <c r="L80" s="87">
        <f t="shared" si="8"/>
        <v>-23.22</v>
      </c>
      <c r="M80" s="88">
        <v>10.55</v>
      </c>
      <c r="N80" s="88">
        <v>17.41</v>
      </c>
      <c r="O80" s="88">
        <v>17.55</v>
      </c>
      <c r="P80" s="88">
        <v>16.53</v>
      </c>
      <c r="Q80" s="88">
        <v>15.39</v>
      </c>
      <c r="R80" s="88">
        <v>12.21</v>
      </c>
      <c r="S80" s="88">
        <v>14.6</v>
      </c>
      <c r="T80" s="88">
        <v>19.68</v>
      </c>
      <c r="U80" s="28">
        <f t="shared" si="9"/>
        <v>123.92000000000002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283100</v>
      </c>
      <c r="C81" s="28">
        <v>0</v>
      </c>
      <c r="D81" s="28">
        <v>31013.94</v>
      </c>
      <c r="E81" s="96">
        <v>246.89</v>
      </c>
      <c r="F81" s="97">
        <v>0</v>
      </c>
      <c r="G81" s="82">
        <v>270</v>
      </c>
      <c r="H81" s="98">
        <f t="shared" si="6"/>
        <v>-8.5592592592592638</v>
      </c>
      <c r="I81" s="115"/>
      <c r="J81" s="85" t="s">
        <v>101</v>
      </c>
      <c r="K81" s="99">
        <f t="shared" si="7"/>
        <v>9962.7247276114886</v>
      </c>
      <c r="L81" s="87">
        <f t="shared" si="8"/>
        <v>-23.110000000000014</v>
      </c>
      <c r="M81" s="92">
        <v>10.58</v>
      </c>
      <c r="N81" s="92">
        <v>17.440000000000001</v>
      </c>
      <c r="O81" s="92">
        <v>17.579999999999998</v>
      </c>
      <c r="P81" s="92">
        <v>16.55</v>
      </c>
      <c r="Q81" s="92">
        <v>15.47</v>
      </c>
      <c r="R81" s="92">
        <v>12.3</v>
      </c>
      <c r="S81" s="92">
        <v>14.6</v>
      </c>
      <c r="T81" s="92">
        <v>19.79</v>
      </c>
      <c r="U81" s="28">
        <f t="shared" si="9"/>
        <v>124.31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0">SUM(B58:B81)</f>
        <v>6642220</v>
      </c>
      <c r="C82" s="35">
        <f t="shared" si="10"/>
        <v>0</v>
      </c>
      <c r="D82" s="35">
        <f t="shared" si="10"/>
        <v>644974.72</v>
      </c>
      <c r="E82" s="35">
        <f t="shared" si="10"/>
        <v>5777.2300000000014</v>
      </c>
      <c r="F82" s="101">
        <f t="shared" si="10"/>
        <v>0</v>
      </c>
      <c r="G82" s="35">
        <f t="shared" si="10"/>
        <v>6210</v>
      </c>
      <c r="H82" s="102"/>
      <c r="I82" s="103"/>
      <c r="J82" s="104"/>
      <c r="K82" s="105">
        <f>IFERROR(AVERAGE(K58:K81),"")</f>
        <v>9943.4602977704672</v>
      </c>
      <c r="L82" s="40">
        <f t="shared" ref="L82:U82" si="11">SUM(L58:L81)</f>
        <v>-417.53</v>
      </c>
      <c r="M82" s="40">
        <f t="shared" si="11"/>
        <v>243.68000000000004</v>
      </c>
      <c r="N82" s="39">
        <f t="shared" si="11"/>
        <v>408.17000000000007</v>
      </c>
      <c r="O82" s="39">
        <f t="shared" si="11"/>
        <v>414.67</v>
      </c>
      <c r="P82" s="39">
        <f t="shared" si="11"/>
        <v>385.26999999999992</v>
      </c>
      <c r="Q82" s="39">
        <f t="shared" si="11"/>
        <v>357.09999999999997</v>
      </c>
      <c r="R82" s="39">
        <f t="shared" si="11"/>
        <v>295.06</v>
      </c>
      <c r="S82" s="39">
        <f t="shared" si="11"/>
        <v>338.19000000000005</v>
      </c>
      <c r="T82" s="39">
        <f t="shared" si="11"/>
        <v>461.11</v>
      </c>
      <c r="U82" s="118">
        <f t="shared" si="11"/>
        <v>2903.2499999999995</v>
      </c>
      <c r="V82" s="39">
        <f>+SUM(V58:V81)</f>
        <v>16.3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0</v>
      </c>
      <c r="J87" s="41"/>
      <c r="K87" s="62" t="s">
        <v>59</v>
      </c>
      <c r="L87" s="113">
        <v>22252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1</v>
      </c>
      <c r="B88" s="57">
        <v>0</v>
      </c>
      <c r="C88" s="57">
        <v>0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23470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>
        <f>IFERROR(3412.14/K82,"")</f>
        <v>0.34315418353559207</v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K90:L90"/>
    <mergeCell ref="B91:B92"/>
    <mergeCell ref="C91:I92"/>
    <mergeCell ref="K91:L91"/>
    <mergeCell ref="K92:L92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A85:A86"/>
    <mergeCell ref="B85:B86"/>
    <mergeCell ref="C85:C86"/>
    <mergeCell ref="D85:D86"/>
    <mergeCell ref="H85:I8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H41:H42"/>
    <mergeCell ref="I41:I42"/>
    <mergeCell ref="K44:L44"/>
    <mergeCell ref="C45:I46"/>
    <mergeCell ref="K45:L45"/>
    <mergeCell ref="K46:L46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A39:A40"/>
    <mergeCell ref="B39:B40"/>
    <mergeCell ref="C39:C40"/>
    <mergeCell ref="D39:D40"/>
    <mergeCell ref="H39:I40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1:C1"/>
    <mergeCell ref="D1:U2"/>
    <mergeCell ref="V1:X4"/>
    <mergeCell ref="A2:C2"/>
    <mergeCell ref="A3:C3"/>
    <mergeCell ref="D3:U4"/>
    <mergeCell ref="A4:C4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FABD-6260-4458-AC92-E91B62FE885E}">
  <dimension ref="A1:Z109"/>
  <sheetViews>
    <sheetView topLeftCell="A51" zoomScale="85" zoomScaleNormal="85" workbookViewId="0">
      <selection activeCell="E82" sqref="E82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27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81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0</v>
      </c>
      <c r="C12" s="28">
        <v>1270.05</v>
      </c>
      <c r="D12" s="28">
        <v>0</v>
      </c>
      <c r="E12" s="28">
        <v>0</v>
      </c>
      <c r="F12" s="28">
        <v>0</v>
      </c>
      <c r="G12" s="28">
        <v>0</v>
      </c>
      <c r="H12" s="28">
        <v>764.67</v>
      </c>
      <c r="I12" s="28">
        <v>763.8</v>
      </c>
      <c r="J12" s="112">
        <v>0</v>
      </c>
      <c r="K12" s="28">
        <f t="shared" ref="K12:K35" si="0">IF(J12=0,0,100*(G12-J12)/J12)</f>
        <v>0</v>
      </c>
      <c r="L12" s="28"/>
      <c r="M12" s="28"/>
      <c r="N12" s="28" t="str">
        <f t="shared" ref="N12:N35" si="1">IFERROR(V12*1000*2.2*$K$46/G12/1000,"")</f>
        <v/>
      </c>
      <c r="O12" s="28" t="str">
        <f t="shared" ref="O12:O35" si="2">IF(OR(K12&gt;5,K12&lt;-5),G12-J12,"")</f>
        <v/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f t="shared" ref="V12:V35" si="3">+SUM(P12:U12)</f>
        <v>0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0</v>
      </c>
      <c r="C13" s="28">
        <v>1392.6799999999998</v>
      </c>
      <c r="D13" s="28">
        <v>0</v>
      </c>
      <c r="E13" s="28">
        <v>0</v>
      </c>
      <c r="F13" s="28">
        <v>0</v>
      </c>
      <c r="G13" s="28">
        <v>0</v>
      </c>
      <c r="H13" s="28">
        <v>813.69</v>
      </c>
      <c r="I13" s="28">
        <v>816.85</v>
      </c>
      <c r="J13" s="112">
        <v>0</v>
      </c>
      <c r="K13" s="28">
        <f t="shared" si="0"/>
        <v>0</v>
      </c>
      <c r="L13" s="28"/>
      <c r="M13" s="28"/>
      <c r="N13" s="28" t="str">
        <f t="shared" si="1"/>
        <v/>
      </c>
      <c r="O13" s="28" t="str">
        <f t="shared" si="2"/>
        <v/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f t="shared" si="3"/>
        <v>0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0</v>
      </c>
      <c r="C14" s="28">
        <v>1241.21</v>
      </c>
      <c r="D14" s="28">
        <v>0</v>
      </c>
      <c r="E14" s="28">
        <v>0</v>
      </c>
      <c r="F14" s="28">
        <v>0</v>
      </c>
      <c r="G14" s="28">
        <v>0</v>
      </c>
      <c r="H14" s="28">
        <v>755.48</v>
      </c>
      <c r="I14" s="28">
        <v>760.66</v>
      </c>
      <c r="J14" s="112">
        <v>0</v>
      </c>
      <c r="K14" s="28">
        <f t="shared" si="0"/>
        <v>0</v>
      </c>
      <c r="L14" s="28"/>
      <c r="M14" s="28"/>
      <c r="N14" s="28" t="str">
        <f t="shared" si="1"/>
        <v/>
      </c>
      <c r="O14" s="28" t="str">
        <f t="shared" si="2"/>
        <v/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f t="shared" si="3"/>
        <v>0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0</v>
      </c>
      <c r="C15" s="28">
        <v>1271.5900000000001</v>
      </c>
      <c r="D15" s="28">
        <v>0</v>
      </c>
      <c r="E15" s="28">
        <v>0</v>
      </c>
      <c r="F15" s="28">
        <v>0</v>
      </c>
      <c r="G15" s="28">
        <v>0</v>
      </c>
      <c r="H15" s="28">
        <v>724.51</v>
      </c>
      <c r="I15" s="28">
        <v>729.93</v>
      </c>
      <c r="J15" s="112">
        <v>0</v>
      </c>
      <c r="K15" s="28">
        <f t="shared" si="0"/>
        <v>0</v>
      </c>
      <c r="L15" s="28"/>
      <c r="M15" s="28"/>
      <c r="N15" s="28" t="str">
        <f t="shared" si="1"/>
        <v/>
      </c>
      <c r="O15" s="28" t="str">
        <f t="shared" si="2"/>
        <v/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f t="shared" si="3"/>
        <v>0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0</v>
      </c>
      <c r="C16" s="28">
        <v>1306.24</v>
      </c>
      <c r="D16" s="28">
        <v>0</v>
      </c>
      <c r="E16" s="28">
        <v>0</v>
      </c>
      <c r="F16" s="28">
        <v>0</v>
      </c>
      <c r="G16" s="28">
        <v>0</v>
      </c>
      <c r="H16" s="28">
        <v>682.37</v>
      </c>
      <c r="I16" s="28">
        <v>685.95</v>
      </c>
      <c r="J16" s="112">
        <v>0</v>
      </c>
      <c r="K16" s="28">
        <f t="shared" si="0"/>
        <v>0</v>
      </c>
      <c r="L16" s="28"/>
      <c r="M16" s="28"/>
      <c r="N16" s="28" t="str">
        <f t="shared" si="1"/>
        <v/>
      </c>
      <c r="O16" s="28" t="str">
        <f t="shared" si="2"/>
        <v/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f t="shared" si="3"/>
        <v>0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0</v>
      </c>
      <c r="C17" s="28">
        <v>1336.98</v>
      </c>
      <c r="D17" s="28">
        <v>0</v>
      </c>
      <c r="E17" s="28">
        <v>0</v>
      </c>
      <c r="F17" s="28">
        <v>0</v>
      </c>
      <c r="G17" s="28">
        <v>0</v>
      </c>
      <c r="H17" s="28">
        <v>660.15</v>
      </c>
      <c r="I17" s="28">
        <v>664.97</v>
      </c>
      <c r="J17" s="112">
        <v>0</v>
      </c>
      <c r="K17" s="28">
        <f t="shared" si="0"/>
        <v>0</v>
      </c>
      <c r="L17" s="28"/>
      <c r="M17" s="28"/>
      <c r="N17" s="28" t="str">
        <f t="shared" si="1"/>
        <v/>
      </c>
      <c r="O17" s="28" t="str">
        <f t="shared" si="2"/>
        <v/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f t="shared" si="3"/>
        <v>0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0</v>
      </c>
      <c r="C18" s="28">
        <v>1354.22</v>
      </c>
      <c r="D18" s="28">
        <v>0</v>
      </c>
      <c r="E18" s="28">
        <v>0</v>
      </c>
      <c r="F18" s="28">
        <v>0</v>
      </c>
      <c r="G18" s="28">
        <v>0</v>
      </c>
      <c r="H18" s="28">
        <v>647.88</v>
      </c>
      <c r="I18" s="28">
        <v>656.9</v>
      </c>
      <c r="J18" s="112">
        <v>0</v>
      </c>
      <c r="K18" s="28">
        <f t="shared" si="0"/>
        <v>0</v>
      </c>
      <c r="L18" s="28"/>
      <c r="M18" s="28"/>
      <c r="N18" s="28" t="str">
        <f t="shared" si="1"/>
        <v/>
      </c>
      <c r="O18" s="28" t="str">
        <f t="shared" si="2"/>
        <v/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f t="shared" si="3"/>
        <v>0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0</v>
      </c>
      <c r="C19" s="28">
        <v>1340.24</v>
      </c>
      <c r="D19" s="28">
        <v>0</v>
      </c>
      <c r="E19" s="28">
        <v>0</v>
      </c>
      <c r="F19" s="28">
        <v>0</v>
      </c>
      <c r="G19" s="28">
        <v>0</v>
      </c>
      <c r="H19" s="28">
        <v>657.32</v>
      </c>
      <c r="I19" s="28">
        <v>674.29</v>
      </c>
      <c r="J19" s="112">
        <v>0</v>
      </c>
      <c r="K19" s="28">
        <f t="shared" si="0"/>
        <v>0</v>
      </c>
      <c r="L19" s="28"/>
      <c r="M19" s="28"/>
      <c r="N19" s="28" t="str">
        <f t="shared" si="1"/>
        <v/>
      </c>
      <c r="O19" s="28" t="str">
        <f t="shared" si="2"/>
        <v/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f t="shared" si="3"/>
        <v>0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0</v>
      </c>
      <c r="C20" s="28">
        <v>1305.92</v>
      </c>
      <c r="D20" s="28">
        <v>0</v>
      </c>
      <c r="E20" s="28">
        <v>0</v>
      </c>
      <c r="F20" s="28">
        <v>0</v>
      </c>
      <c r="G20" s="28">
        <v>0</v>
      </c>
      <c r="H20" s="28">
        <v>700.05</v>
      </c>
      <c r="I20" s="28">
        <v>718.2</v>
      </c>
      <c r="J20" s="112">
        <v>0</v>
      </c>
      <c r="K20" s="28">
        <f t="shared" si="0"/>
        <v>0</v>
      </c>
      <c r="L20" s="28"/>
      <c r="M20" s="28"/>
      <c r="N20" s="28" t="str">
        <f t="shared" si="1"/>
        <v/>
      </c>
      <c r="O20" s="28" t="str">
        <f t="shared" si="2"/>
        <v/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f t="shared" si="3"/>
        <v>0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0</v>
      </c>
      <c r="C21" s="28">
        <v>1339.83</v>
      </c>
      <c r="D21" s="28">
        <v>0</v>
      </c>
      <c r="E21" s="28">
        <v>0</v>
      </c>
      <c r="F21" s="28">
        <v>0</v>
      </c>
      <c r="G21" s="28">
        <v>0</v>
      </c>
      <c r="H21" s="28">
        <v>671.07</v>
      </c>
      <c r="I21" s="28">
        <v>690.17</v>
      </c>
      <c r="J21" s="112">
        <v>0</v>
      </c>
      <c r="K21" s="28">
        <f t="shared" si="0"/>
        <v>0</v>
      </c>
      <c r="L21" s="28"/>
      <c r="M21" s="28"/>
      <c r="N21" s="28" t="str">
        <f t="shared" si="1"/>
        <v/>
      </c>
      <c r="O21" s="28" t="str">
        <f t="shared" si="2"/>
        <v/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f t="shared" si="3"/>
        <v>0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0</v>
      </c>
      <c r="C22" s="28">
        <v>1398.95</v>
      </c>
      <c r="D22" s="28">
        <v>0</v>
      </c>
      <c r="E22" s="28">
        <v>0</v>
      </c>
      <c r="F22" s="28">
        <v>0</v>
      </c>
      <c r="G22" s="28">
        <v>0</v>
      </c>
      <c r="H22" s="28">
        <v>639.48</v>
      </c>
      <c r="I22" s="28">
        <v>663.75</v>
      </c>
      <c r="J22" s="112">
        <v>0</v>
      </c>
      <c r="K22" s="28">
        <f t="shared" si="0"/>
        <v>0</v>
      </c>
      <c r="L22" s="28"/>
      <c r="M22" s="28"/>
      <c r="N22" s="28" t="str">
        <f t="shared" si="1"/>
        <v/>
      </c>
      <c r="O22" s="28" t="str">
        <f t="shared" si="2"/>
        <v/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f t="shared" si="3"/>
        <v>0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0</v>
      </c>
      <c r="C23" s="28">
        <v>1399.68</v>
      </c>
      <c r="D23" s="28">
        <v>0</v>
      </c>
      <c r="E23" s="28">
        <v>0</v>
      </c>
      <c r="F23" s="28">
        <v>0</v>
      </c>
      <c r="G23" s="28">
        <v>0</v>
      </c>
      <c r="H23" s="28">
        <v>660.79</v>
      </c>
      <c r="I23" s="28">
        <v>693.12</v>
      </c>
      <c r="J23" s="112">
        <v>0</v>
      </c>
      <c r="K23" s="28">
        <f t="shared" si="0"/>
        <v>0</v>
      </c>
      <c r="L23" s="28"/>
      <c r="M23" s="28"/>
      <c r="N23" s="28" t="str">
        <f t="shared" si="1"/>
        <v/>
      </c>
      <c r="O23" s="28" t="str">
        <f t="shared" si="2"/>
        <v/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f t="shared" si="3"/>
        <v>0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0</v>
      </c>
      <c r="C24" s="28">
        <v>1410.6999999999998</v>
      </c>
      <c r="D24" s="28">
        <v>0</v>
      </c>
      <c r="E24" s="28">
        <v>0</v>
      </c>
      <c r="F24" s="28">
        <v>0</v>
      </c>
      <c r="G24" s="28">
        <v>0</v>
      </c>
      <c r="H24" s="28">
        <v>656.5</v>
      </c>
      <c r="I24" s="28">
        <v>692.25</v>
      </c>
      <c r="J24" s="112">
        <v>0</v>
      </c>
      <c r="K24" s="28">
        <f t="shared" si="0"/>
        <v>0</v>
      </c>
      <c r="L24" s="28"/>
      <c r="M24" s="28"/>
      <c r="N24" s="28" t="str">
        <f t="shared" si="1"/>
        <v/>
      </c>
      <c r="O24" s="28" t="str">
        <f t="shared" si="2"/>
        <v/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f t="shared" si="3"/>
        <v>0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0</v>
      </c>
      <c r="C25" s="28">
        <v>1406.46</v>
      </c>
      <c r="D25" s="28">
        <v>0</v>
      </c>
      <c r="E25" s="28">
        <v>0</v>
      </c>
      <c r="F25" s="28">
        <v>0</v>
      </c>
      <c r="G25" s="28">
        <v>0</v>
      </c>
      <c r="H25" s="28">
        <v>658.65</v>
      </c>
      <c r="I25" s="28">
        <v>682.87</v>
      </c>
      <c r="J25" s="112">
        <v>0</v>
      </c>
      <c r="K25" s="28">
        <f t="shared" si="0"/>
        <v>0</v>
      </c>
      <c r="L25" s="28"/>
      <c r="M25" s="28"/>
      <c r="N25" s="28" t="str">
        <f t="shared" si="1"/>
        <v/>
      </c>
      <c r="O25" s="28" t="str">
        <f t="shared" si="2"/>
        <v/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f t="shared" si="3"/>
        <v>0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0</v>
      </c>
      <c r="C26" s="28">
        <v>1404.06</v>
      </c>
      <c r="D26" s="28">
        <v>0</v>
      </c>
      <c r="E26" s="28">
        <v>0</v>
      </c>
      <c r="F26" s="28">
        <v>0</v>
      </c>
      <c r="G26" s="28">
        <v>0</v>
      </c>
      <c r="H26" s="28">
        <v>685.57</v>
      </c>
      <c r="I26" s="28">
        <v>705.71</v>
      </c>
      <c r="J26" s="112">
        <v>0</v>
      </c>
      <c r="K26" s="28">
        <f t="shared" si="0"/>
        <v>0</v>
      </c>
      <c r="L26" s="28"/>
      <c r="M26" s="28"/>
      <c r="N26" s="28" t="str">
        <f t="shared" si="1"/>
        <v/>
      </c>
      <c r="O26" s="28" t="str">
        <f t="shared" si="2"/>
        <v/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f t="shared" si="3"/>
        <v>0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0</v>
      </c>
      <c r="C27" s="28">
        <v>1394.0900000000001</v>
      </c>
      <c r="D27" s="28">
        <v>0</v>
      </c>
      <c r="E27" s="28">
        <v>0</v>
      </c>
      <c r="F27" s="28">
        <v>0</v>
      </c>
      <c r="G27" s="28">
        <v>0</v>
      </c>
      <c r="H27" s="28">
        <v>686.2</v>
      </c>
      <c r="I27" s="28">
        <v>700.7</v>
      </c>
      <c r="J27" s="112">
        <v>0</v>
      </c>
      <c r="K27" s="28">
        <f t="shared" si="0"/>
        <v>0</v>
      </c>
      <c r="L27" s="28"/>
      <c r="M27" s="28"/>
      <c r="N27" s="28" t="str">
        <f t="shared" si="1"/>
        <v/>
      </c>
      <c r="O27" s="28" t="str">
        <f t="shared" si="2"/>
        <v/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f t="shared" si="3"/>
        <v>0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0</v>
      </c>
      <c r="C28" s="28">
        <v>1391.48</v>
      </c>
      <c r="D28" s="28">
        <v>0</v>
      </c>
      <c r="E28" s="28">
        <v>0</v>
      </c>
      <c r="F28" s="28">
        <v>0</v>
      </c>
      <c r="G28" s="28">
        <v>0</v>
      </c>
      <c r="H28" s="28">
        <v>689.88</v>
      </c>
      <c r="I28" s="28">
        <v>701.04</v>
      </c>
      <c r="J28" s="112">
        <v>0</v>
      </c>
      <c r="K28" s="28">
        <f t="shared" si="0"/>
        <v>0</v>
      </c>
      <c r="L28" s="28"/>
      <c r="M28" s="28"/>
      <c r="N28" s="28" t="str">
        <f t="shared" si="1"/>
        <v/>
      </c>
      <c r="O28" s="28" t="str">
        <f t="shared" si="2"/>
        <v/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f t="shared" si="3"/>
        <v>0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0</v>
      </c>
      <c r="C29" s="28">
        <v>1396.76</v>
      </c>
      <c r="D29" s="28">
        <v>0</v>
      </c>
      <c r="E29" s="28">
        <v>0</v>
      </c>
      <c r="F29" s="28">
        <v>0</v>
      </c>
      <c r="G29" s="28">
        <v>0</v>
      </c>
      <c r="H29" s="28">
        <v>718.27</v>
      </c>
      <c r="I29" s="28">
        <v>724.25</v>
      </c>
      <c r="J29" s="112">
        <v>0</v>
      </c>
      <c r="K29" s="28">
        <f t="shared" si="0"/>
        <v>0</v>
      </c>
      <c r="L29" s="28"/>
      <c r="M29" s="28"/>
      <c r="N29" s="28" t="str">
        <f t="shared" si="1"/>
        <v/>
      </c>
      <c r="O29" s="28" t="str">
        <f t="shared" si="2"/>
        <v/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f t="shared" si="3"/>
        <v>0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0</v>
      </c>
      <c r="C30" s="28">
        <v>1431.3899999999999</v>
      </c>
      <c r="D30" s="28">
        <v>0</v>
      </c>
      <c r="E30" s="28">
        <v>0</v>
      </c>
      <c r="F30" s="28">
        <v>0</v>
      </c>
      <c r="G30" s="28">
        <v>0</v>
      </c>
      <c r="H30" s="28">
        <v>669.86</v>
      </c>
      <c r="I30" s="28">
        <v>674.23</v>
      </c>
      <c r="J30" s="112">
        <v>0</v>
      </c>
      <c r="K30" s="28">
        <f t="shared" si="0"/>
        <v>0</v>
      </c>
      <c r="L30" s="28"/>
      <c r="M30" s="28"/>
      <c r="N30" s="28" t="str">
        <f t="shared" si="1"/>
        <v/>
      </c>
      <c r="O30" s="28" t="str">
        <f t="shared" si="2"/>
        <v/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f t="shared" si="3"/>
        <v>0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0</v>
      </c>
      <c r="C31" s="28">
        <v>1426.93</v>
      </c>
      <c r="D31" s="28">
        <v>0</v>
      </c>
      <c r="E31" s="28">
        <v>0</v>
      </c>
      <c r="F31" s="28">
        <v>0</v>
      </c>
      <c r="G31" s="28">
        <v>0</v>
      </c>
      <c r="H31" s="28">
        <v>641.70000000000005</v>
      </c>
      <c r="I31" s="28">
        <v>644.04</v>
      </c>
      <c r="J31" s="112">
        <v>0</v>
      </c>
      <c r="K31" s="28">
        <f t="shared" si="0"/>
        <v>0</v>
      </c>
      <c r="L31" s="28"/>
      <c r="M31" s="28"/>
      <c r="N31" s="28" t="str">
        <f t="shared" si="1"/>
        <v/>
      </c>
      <c r="O31" s="28" t="str">
        <f t="shared" si="2"/>
        <v/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f t="shared" si="3"/>
        <v>0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0</v>
      </c>
      <c r="C32" s="28">
        <v>1451.99</v>
      </c>
      <c r="D32" s="28">
        <v>0</v>
      </c>
      <c r="E32" s="28">
        <v>0</v>
      </c>
      <c r="F32" s="28">
        <v>0</v>
      </c>
      <c r="G32" s="28">
        <v>0</v>
      </c>
      <c r="H32" s="28">
        <v>619.89</v>
      </c>
      <c r="I32" s="28">
        <v>619.32000000000005</v>
      </c>
      <c r="J32" s="112">
        <v>0</v>
      </c>
      <c r="K32" s="28">
        <f t="shared" si="0"/>
        <v>0</v>
      </c>
      <c r="L32" s="28"/>
      <c r="M32" s="28"/>
      <c r="N32" s="28" t="str">
        <f t="shared" si="1"/>
        <v/>
      </c>
      <c r="O32" s="28" t="str">
        <f t="shared" si="2"/>
        <v/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f t="shared" si="3"/>
        <v>0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0</v>
      </c>
      <c r="C33" s="28">
        <v>1451.37</v>
      </c>
      <c r="D33" s="28">
        <v>0</v>
      </c>
      <c r="E33" s="28">
        <v>0</v>
      </c>
      <c r="F33" s="28">
        <v>0</v>
      </c>
      <c r="G33" s="28">
        <v>0</v>
      </c>
      <c r="H33" s="28">
        <v>613.22</v>
      </c>
      <c r="I33" s="28">
        <v>610.38</v>
      </c>
      <c r="J33" s="112">
        <v>0</v>
      </c>
      <c r="K33" s="28">
        <f t="shared" si="0"/>
        <v>0</v>
      </c>
      <c r="L33" s="28"/>
      <c r="M33" s="28"/>
      <c r="N33" s="28" t="str">
        <f t="shared" si="1"/>
        <v/>
      </c>
      <c r="O33" s="28" t="str">
        <f t="shared" si="2"/>
        <v/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f t="shared" si="3"/>
        <v>0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0</v>
      </c>
      <c r="C34" s="28">
        <v>1425.03</v>
      </c>
      <c r="D34" s="28">
        <v>0</v>
      </c>
      <c r="E34" s="28">
        <v>0</v>
      </c>
      <c r="F34" s="28">
        <v>0</v>
      </c>
      <c r="G34" s="28">
        <v>0</v>
      </c>
      <c r="H34" s="28">
        <v>655.12</v>
      </c>
      <c r="I34" s="28">
        <v>655.76</v>
      </c>
      <c r="J34" s="112">
        <v>0</v>
      </c>
      <c r="K34" s="28">
        <f t="shared" si="0"/>
        <v>0</v>
      </c>
      <c r="L34" s="28"/>
      <c r="M34" s="28"/>
      <c r="N34" s="28" t="str">
        <f t="shared" si="1"/>
        <v/>
      </c>
      <c r="O34" s="28" t="str">
        <f t="shared" si="2"/>
        <v/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f t="shared" si="3"/>
        <v>0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0</v>
      </c>
      <c r="C35" s="28">
        <v>1418.4</v>
      </c>
      <c r="D35" s="28">
        <v>0</v>
      </c>
      <c r="E35" s="28">
        <v>0</v>
      </c>
      <c r="F35" s="28">
        <v>0</v>
      </c>
      <c r="G35" s="28">
        <v>0</v>
      </c>
      <c r="H35" s="28">
        <v>647.99</v>
      </c>
      <c r="I35" s="28">
        <v>645.84</v>
      </c>
      <c r="J35" s="112">
        <v>0</v>
      </c>
      <c r="K35" s="116">
        <f t="shared" si="0"/>
        <v>0</v>
      </c>
      <c r="L35" s="28"/>
      <c r="M35" s="28"/>
      <c r="N35" s="28" t="str">
        <f t="shared" si="1"/>
        <v/>
      </c>
      <c r="O35" s="28" t="str">
        <f t="shared" si="2"/>
        <v/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f t="shared" si="3"/>
        <v>0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0</v>
      </c>
      <c r="C36" s="35">
        <f t="shared" ref="C36:J36" si="4">SUM(C12:C35)</f>
        <v>32966.25</v>
      </c>
      <c r="D36" s="35">
        <f t="shared" si="4"/>
        <v>0</v>
      </c>
      <c r="E36" s="35">
        <f t="shared" si="4"/>
        <v>0</v>
      </c>
      <c r="F36" s="35">
        <f t="shared" si="4"/>
        <v>0</v>
      </c>
      <c r="G36" s="35">
        <f t="shared" si="4"/>
        <v>0</v>
      </c>
      <c r="H36" s="35">
        <f t="shared" si="4"/>
        <v>16320.31</v>
      </c>
      <c r="I36" s="35">
        <f t="shared" si="4"/>
        <v>16574.980000000003</v>
      </c>
      <c r="J36" s="35">
        <f t="shared" si="4"/>
        <v>0</v>
      </c>
      <c r="K36" s="36"/>
      <c r="L36" s="37"/>
      <c r="M36" s="38"/>
      <c r="N36" s="35" t="str">
        <f>IFERROR(AVERAGE(N12:N35),"")</f>
        <v/>
      </c>
      <c r="O36" s="39">
        <f t="shared" ref="O36:U36" si="5">SUM(O12:O35)</f>
        <v>0</v>
      </c>
      <c r="P36" s="39">
        <f t="shared" si="5"/>
        <v>0</v>
      </c>
      <c r="Q36" s="39">
        <f t="shared" si="5"/>
        <v>0</v>
      </c>
      <c r="R36" s="39">
        <f t="shared" si="5"/>
        <v>0</v>
      </c>
      <c r="S36" s="39">
        <f t="shared" si="5"/>
        <v>0</v>
      </c>
      <c r="T36" s="39">
        <f t="shared" si="5"/>
        <v>0</v>
      </c>
      <c r="U36" s="39">
        <f t="shared" si="5"/>
        <v>0</v>
      </c>
      <c r="V36" s="39">
        <f>SUM(V12:V35)</f>
        <v>0</v>
      </c>
      <c r="W36" s="40">
        <f>SUM(W12:W35)</f>
        <v>0</v>
      </c>
      <c r="X36" s="40"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X36</f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32895.29</v>
      </c>
      <c r="J41" s="41"/>
      <c r="K41" s="13" t="s">
        <v>59</v>
      </c>
      <c r="L41" s="113">
        <v>32623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0</v>
      </c>
      <c r="B42" s="57">
        <v>0</v>
      </c>
      <c r="C42" s="57">
        <v>0</v>
      </c>
      <c r="D42" s="57">
        <v>1</v>
      </c>
      <c r="E42" s="58"/>
      <c r="F42" s="58"/>
      <c r="G42" s="41"/>
      <c r="H42" s="217"/>
      <c r="I42" s="219"/>
      <c r="J42" s="41"/>
      <c r="K42" s="59" t="s">
        <v>60</v>
      </c>
      <c r="L42" s="114">
        <v>11469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 t="str">
        <f>IFERROR(3412.14/N36,"")</f>
        <v/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27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José Leal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282970</v>
      </c>
      <c r="C58" s="28">
        <v>0</v>
      </c>
      <c r="D58" s="81">
        <v>30257.97</v>
      </c>
      <c r="E58" s="82">
        <v>246.59</v>
      </c>
      <c r="F58" s="83">
        <v>0</v>
      </c>
      <c r="G58" s="82">
        <v>270</v>
      </c>
      <c r="H58" s="84">
        <f t="shared" ref="H58:H81" si="6">IF(G58=0,0,100*(E58-G58)/G58)</f>
        <v>-8.6703703703703692</v>
      </c>
      <c r="I58" s="85"/>
      <c r="J58" s="85" t="s">
        <v>101</v>
      </c>
      <c r="K58" s="86">
        <f t="shared" ref="K58:K81" si="7">IFERROR(U58*1000*2.2*$K$92/E58/1000,"")</f>
        <v>9986.8815767062752</v>
      </c>
      <c r="L58" s="87">
        <f t="shared" ref="L58:L81" si="8">IF(OR(H58&gt;5,H58&lt;-5),E58-G58,"")</f>
        <v>-23.409999999999997</v>
      </c>
      <c r="M58" s="88">
        <v>10.6</v>
      </c>
      <c r="N58" s="88">
        <v>17.45</v>
      </c>
      <c r="O58" s="88">
        <v>17.579999999999998</v>
      </c>
      <c r="P58" s="88">
        <v>16.559999999999999</v>
      </c>
      <c r="Q58" s="88">
        <v>15.56</v>
      </c>
      <c r="R58" s="88">
        <v>12.26</v>
      </c>
      <c r="S58" s="88">
        <v>14.69</v>
      </c>
      <c r="T58" s="88">
        <v>19.760000000000002</v>
      </c>
      <c r="U58" s="28">
        <f>+SUM(M58:T58)</f>
        <v>124.46000000000001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283090</v>
      </c>
      <c r="C59" s="28">
        <v>0</v>
      </c>
      <c r="D59" s="81">
        <v>28747.52</v>
      </c>
      <c r="E59" s="82">
        <v>246.72</v>
      </c>
      <c r="F59" s="82">
        <v>0</v>
      </c>
      <c r="G59" s="82">
        <v>270</v>
      </c>
      <c r="H59" s="91">
        <f t="shared" si="6"/>
        <v>-8.6222222222222218</v>
      </c>
      <c r="I59" s="85"/>
      <c r="J59" s="85" t="s">
        <v>101</v>
      </c>
      <c r="K59" s="86">
        <f t="shared" si="7"/>
        <v>10043.372908560312</v>
      </c>
      <c r="L59" s="87">
        <f t="shared" si="8"/>
        <v>-23.28</v>
      </c>
      <c r="M59" s="88">
        <v>10.71</v>
      </c>
      <c r="N59" s="88">
        <v>17.57</v>
      </c>
      <c r="O59" s="88">
        <v>17.72</v>
      </c>
      <c r="P59" s="88">
        <v>16.66</v>
      </c>
      <c r="Q59" s="88">
        <v>15.65</v>
      </c>
      <c r="R59" s="88">
        <v>12.26</v>
      </c>
      <c r="S59" s="88">
        <v>14.75</v>
      </c>
      <c r="T59" s="88">
        <v>19.91</v>
      </c>
      <c r="U59" s="28">
        <f t="shared" ref="U59:U81" si="9">+SUM(M59:T59)</f>
        <v>125.23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282990</v>
      </c>
      <c r="C60" s="28">
        <v>0</v>
      </c>
      <c r="D60" s="81">
        <v>28202.880000000001</v>
      </c>
      <c r="E60" s="82">
        <v>247.24</v>
      </c>
      <c r="F60" s="82">
        <v>0</v>
      </c>
      <c r="G60" s="82">
        <v>270</v>
      </c>
      <c r="H60" s="91">
        <f t="shared" si="6"/>
        <v>-8.4296296296296269</v>
      </c>
      <c r="I60" s="85"/>
      <c r="J60" s="85" t="s">
        <v>101</v>
      </c>
      <c r="K60" s="86">
        <f t="shared" si="7"/>
        <v>10021.449182980099</v>
      </c>
      <c r="L60" s="87">
        <f t="shared" si="8"/>
        <v>-22.759999999999991</v>
      </c>
      <c r="M60" s="88">
        <v>10.68</v>
      </c>
      <c r="N60" s="88">
        <v>17.54</v>
      </c>
      <c r="O60" s="88">
        <v>17.73</v>
      </c>
      <c r="P60" s="88">
        <v>16.66</v>
      </c>
      <c r="Q60" s="88">
        <v>15.63</v>
      </c>
      <c r="R60" s="88">
        <v>12.3</v>
      </c>
      <c r="S60" s="88">
        <v>14.81</v>
      </c>
      <c r="T60" s="88">
        <v>19.87</v>
      </c>
      <c r="U60" s="28">
        <f t="shared" si="9"/>
        <v>125.22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283050</v>
      </c>
      <c r="C61" s="28">
        <v>0</v>
      </c>
      <c r="D61" s="81">
        <v>28739.67</v>
      </c>
      <c r="E61" s="82">
        <v>247.13</v>
      </c>
      <c r="F61" s="82">
        <v>0</v>
      </c>
      <c r="G61" s="82">
        <v>270</v>
      </c>
      <c r="H61" s="91">
        <f t="shared" si="6"/>
        <v>-8.4703703703703717</v>
      </c>
      <c r="I61" s="85"/>
      <c r="J61" s="85" t="s">
        <v>101</v>
      </c>
      <c r="K61" s="86">
        <f t="shared" si="7"/>
        <v>10017.90319265164</v>
      </c>
      <c r="L61" s="87">
        <f t="shared" si="8"/>
        <v>-22.870000000000005</v>
      </c>
      <c r="M61" s="88">
        <v>10.65</v>
      </c>
      <c r="N61" s="88">
        <v>17.54</v>
      </c>
      <c r="O61" s="88">
        <v>17.739999999999998</v>
      </c>
      <c r="P61" s="88">
        <v>16.600000000000001</v>
      </c>
      <c r="Q61" s="88">
        <v>15.62</v>
      </c>
      <c r="R61" s="88">
        <v>12.31</v>
      </c>
      <c r="S61" s="88">
        <v>14.74</v>
      </c>
      <c r="T61" s="88">
        <v>19.920000000000002</v>
      </c>
      <c r="U61" s="28">
        <f t="shared" si="9"/>
        <v>125.11999999999999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283650</v>
      </c>
      <c r="C62" s="28">
        <v>0</v>
      </c>
      <c r="D62" s="81">
        <v>28877.19</v>
      </c>
      <c r="E62" s="82">
        <v>247.39</v>
      </c>
      <c r="F62" s="82">
        <v>0</v>
      </c>
      <c r="G62" s="82">
        <v>270</v>
      </c>
      <c r="H62" s="91">
        <f t="shared" si="6"/>
        <v>-8.3740740740740787</v>
      </c>
      <c r="I62" s="85"/>
      <c r="J62" s="85" t="s">
        <v>101</v>
      </c>
      <c r="K62" s="86">
        <f t="shared" si="7"/>
        <v>10053.764339706537</v>
      </c>
      <c r="L62" s="87">
        <f t="shared" si="8"/>
        <v>-22.610000000000014</v>
      </c>
      <c r="M62" s="88">
        <v>10.73</v>
      </c>
      <c r="N62" s="88">
        <v>17.64</v>
      </c>
      <c r="O62" s="88">
        <v>17.760000000000002</v>
      </c>
      <c r="P62" s="88">
        <v>16.61</v>
      </c>
      <c r="Q62" s="88">
        <v>15.74</v>
      </c>
      <c r="R62" s="88">
        <v>12.38</v>
      </c>
      <c r="S62" s="88">
        <v>14.86</v>
      </c>
      <c r="T62" s="88">
        <v>19.98</v>
      </c>
      <c r="U62" s="28">
        <f t="shared" si="9"/>
        <v>125.7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284100</v>
      </c>
      <c r="C63" s="28">
        <v>0</v>
      </c>
      <c r="D63" s="81">
        <v>28720.77</v>
      </c>
      <c r="E63" s="82">
        <v>247.98</v>
      </c>
      <c r="F63" s="82">
        <v>0</v>
      </c>
      <c r="G63" s="82">
        <v>270</v>
      </c>
      <c r="H63" s="91">
        <f t="shared" si="6"/>
        <v>-8.1555555555555586</v>
      </c>
      <c r="I63" s="85"/>
      <c r="J63" s="85" t="s">
        <v>101</v>
      </c>
      <c r="K63" s="86">
        <f t="shared" si="7"/>
        <v>9985.16070650859</v>
      </c>
      <c r="L63" s="87">
        <f t="shared" si="8"/>
        <v>-22.02000000000001</v>
      </c>
      <c r="M63" s="88">
        <v>10.75</v>
      </c>
      <c r="N63" s="88">
        <v>17.55</v>
      </c>
      <c r="O63" s="88">
        <v>17.649999999999999</v>
      </c>
      <c r="P63" s="88">
        <v>16.63</v>
      </c>
      <c r="Q63" s="88">
        <v>15.66</v>
      </c>
      <c r="R63" s="88">
        <v>12.29</v>
      </c>
      <c r="S63" s="88">
        <v>14.78</v>
      </c>
      <c r="T63" s="88">
        <v>19.829999999999998</v>
      </c>
      <c r="U63" s="28">
        <f t="shared" si="9"/>
        <v>125.14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285200</v>
      </c>
      <c r="C64" s="28">
        <v>0</v>
      </c>
      <c r="D64" s="81">
        <v>31456.25</v>
      </c>
      <c r="E64" s="82">
        <v>248.66</v>
      </c>
      <c r="F64" s="82">
        <v>0</v>
      </c>
      <c r="G64" s="82">
        <v>270</v>
      </c>
      <c r="H64" s="91">
        <f t="shared" si="6"/>
        <v>-7.9037037037037052</v>
      </c>
      <c r="I64" s="85"/>
      <c r="J64" s="85" t="s">
        <v>101</v>
      </c>
      <c r="K64" s="86">
        <f t="shared" si="7"/>
        <v>10023.90089278533</v>
      </c>
      <c r="L64" s="87">
        <f t="shared" si="8"/>
        <v>-21.340000000000003</v>
      </c>
      <c r="M64" s="88">
        <v>10.85</v>
      </c>
      <c r="N64" s="88">
        <v>17.66</v>
      </c>
      <c r="O64" s="88">
        <v>17.829999999999998</v>
      </c>
      <c r="P64" s="88">
        <v>16.73</v>
      </c>
      <c r="Q64" s="88">
        <v>15.79</v>
      </c>
      <c r="R64" s="88">
        <v>12.24</v>
      </c>
      <c r="S64" s="88">
        <v>14.89</v>
      </c>
      <c r="T64" s="88">
        <v>19.98</v>
      </c>
      <c r="U64" s="28">
        <f t="shared" si="9"/>
        <v>125.96999999999998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287880</v>
      </c>
      <c r="C65" s="28">
        <v>0</v>
      </c>
      <c r="D65" s="81">
        <v>33077.01</v>
      </c>
      <c r="E65" s="82">
        <v>250.96</v>
      </c>
      <c r="F65" s="82">
        <v>0</v>
      </c>
      <c r="G65" s="82">
        <v>270</v>
      </c>
      <c r="H65" s="91">
        <f t="shared" si="6"/>
        <v>-7.0518518518518487</v>
      </c>
      <c r="I65" s="85"/>
      <c r="J65" s="85" t="s">
        <v>101</v>
      </c>
      <c r="K65" s="86">
        <f t="shared" si="7"/>
        <v>10062.127095951546</v>
      </c>
      <c r="L65" s="87">
        <f t="shared" si="8"/>
        <v>-19.039999999999992</v>
      </c>
      <c r="M65" s="88">
        <v>10.94</v>
      </c>
      <c r="N65" s="88">
        <v>17.84</v>
      </c>
      <c r="O65" s="88">
        <v>18.03</v>
      </c>
      <c r="P65" s="88">
        <v>17.02</v>
      </c>
      <c r="Q65" s="88">
        <v>16.03</v>
      </c>
      <c r="R65" s="88">
        <v>12.33</v>
      </c>
      <c r="S65" s="88">
        <v>15.13</v>
      </c>
      <c r="T65" s="88">
        <v>20.3</v>
      </c>
      <c r="U65" s="28">
        <f t="shared" si="9"/>
        <v>127.61999999999999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288980</v>
      </c>
      <c r="C66" s="28">
        <v>0</v>
      </c>
      <c r="D66" s="81">
        <v>32439.58</v>
      </c>
      <c r="E66" s="82">
        <v>251.87</v>
      </c>
      <c r="F66" s="82">
        <v>0</v>
      </c>
      <c r="G66" s="82">
        <v>270</v>
      </c>
      <c r="H66" s="91">
        <f t="shared" si="6"/>
        <v>-6.7148148148148135</v>
      </c>
      <c r="I66" s="85"/>
      <c r="J66" s="85" t="s">
        <v>101</v>
      </c>
      <c r="K66" s="86">
        <f t="shared" si="7"/>
        <v>10014.774542422678</v>
      </c>
      <c r="L66" s="87">
        <f t="shared" si="8"/>
        <v>-18.129999999999995</v>
      </c>
      <c r="M66" s="88">
        <v>10.88</v>
      </c>
      <c r="N66" s="88">
        <v>17.829999999999998</v>
      </c>
      <c r="O66" s="88">
        <v>18.02</v>
      </c>
      <c r="P66" s="88">
        <v>16.96</v>
      </c>
      <c r="Q66" s="88">
        <v>16.059999999999999</v>
      </c>
      <c r="R66" s="88">
        <v>12.24</v>
      </c>
      <c r="S66" s="88">
        <v>15.22</v>
      </c>
      <c r="T66" s="88">
        <v>20.27</v>
      </c>
      <c r="U66" s="28">
        <f t="shared" si="9"/>
        <v>127.47999999999999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289480</v>
      </c>
      <c r="C67" s="28">
        <v>0</v>
      </c>
      <c r="D67" s="81">
        <v>34228.379999999997</v>
      </c>
      <c r="E67" s="82">
        <v>252.23</v>
      </c>
      <c r="F67" s="82">
        <v>0</v>
      </c>
      <c r="G67" s="82">
        <v>270</v>
      </c>
      <c r="H67" s="91">
        <f t="shared" si="6"/>
        <v>-6.581481481481485</v>
      </c>
      <c r="I67" s="85"/>
      <c r="J67" s="85" t="s">
        <v>101</v>
      </c>
      <c r="K67" s="86">
        <f t="shared" si="7"/>
        <v>10027.937374618403</v>
      </c>
      <c r="L67" s="87">
        <f t="shared" si="8"/>
        <v>-17.77000000000001</v>
      </c>
      <c r="M67" s="88">
        <v>11</v>
      </c>
      <c r="N67" s="88">
        <v>17.89</v>
      </c>
      <c r="O67" s="88">
        <v>18.02</v>
      </c>
      <c r="P67" s="88">
        <v>17.03</v>
      </c>
      <c r="Q67" s="88">
        <v>16.079999999999998</v>
      </c>
      <c r="R67" s="88">
        <v>12.35</v>
      </c>
      <c r="S67" s="88">
        <v>15.16</v>
      </c>
      <c r="T67" s="88">
        <v>20.3</v>
      </c>
      <c r="U67" s="28">
        <f t="shared" si="9"/>
        <v>127.82999999999998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291350</v>
      </c>
      <c r="C68" s="28">
        <v>0</v>
      </c>
      <c r="D68" s="81">
        <v>33526.15</v>
      </c>
      <c r="E68" s="82">
        <v>253.89</v>
      </c>
      <c r="F68" s="82">
        <v>0</v>
      </c>
      <c r="G68" s="82">
        <v>270</v>
      </c>
      <c r="H68" s="91">
        <f t="shared" si="6"/>
        <v>-5.9666666666666721</v>
      </c>
      <c r="I68" s="85"/>
      <c r="J68" s="85" t="s">
        <v>101</v>
      </c>
      <c r="K68" s="86">
        <f t="shared" si="7"/>
        <v>9915.6113434952149</v>
      </c>
      <c r="L68" s="87">
        <f t="shared" si="8"/>
        <v>-16.110000000000014</v>
      </c>
      <c r="M68" s="88">
        <v>10.95</v>
      </c>
      <c r="N68" s="88">
        <v>17.78</v>
      </c>
      <c r="O68" s="88">
        <v>17.989999999999998</v>
      </c>
      <c r="P68" s="92">
        <v>16.899999999999999</v>
      </c>
      <c r="Q68" s="88">
        <v>16.04</v>
      </c>
      <c r="R68" s="88">
        <v>12.17</v>
      </c>
      <c r="S68" s="88">
        <v>15.16</v>
      </c>
      <c r="T68" s="88">
        <v>20.239999999999998</v>
      </c>
      <c r="U68" s="28">
        <f t="shared" si="9"/>
        <v>127.22999999999999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291170</v>
      </c>
      <c r="C69" s="28">
        <v>0</v>
      </c>
      <c r="D69" s="81">
        <v>32027.200000000001</v>
      </c>
      <c r="E69" s="82">
        <v>253.42</v>
      </c>
      <c r="F69" s="82">
        <v>0</v>
      </c>
      <c r="G69" s="82">
        <v>270</v>
      </c>
      <c r="H69" s="91">
        <f t="shared" si="6"/>
        <v>-6.1407407407407462</v>
      </c>
      <c r="I69" s="85"/>
      <c r="J69" s="85" t="s">
        <v>101</v>
      </c>
      <c r="K69" s="86">
        <f t="shared" si="7"/>
        <v>9952.7400994396648</v>
      </c>
      <c r="L69" s="87">
        <f t="shared" si="8"/>
        <v>-16.580000000000013</v>
      </c>
      <c r="M69" s="88">
        <v>11</v>
      </c>
      <c r="N69" s="88">
        <v>17.84</v>
      </c>
      <c r="O69" s="88">
        <v>18.07</v>
      </c>
      <c r="P69" s="92">
        <v>16.91</v>
      </c>
      <c r="Q69" s="88">
        <v>16.07</v>
      </c>
      <c r="R69" s="88">
        <v>12.18</v>
      </c>
      <c r="S69" s="88">
        <v>15.16</v>
      </c>
      <c r="T69" s="88">
        <v>20.239999999999998</v>
      </c>
      <c r="U69" s="28">
        <f t="shared" si="9"/>
        <v>127.46999999999998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291230</v>
      </c>
      <c r="C70" s="28">
        <v>0</v>
      </c>
      <c r="D70" s="81">
        <v>33315.22</v>
      </c>
      <c r="E70" s="82">
        <v>253.38</v>
      </c>
      <c r="F70" s="82">
        <v>0</v>
      </c>
      <c r="G70" s="82">
        <v>270</v>
      </c>
      <c r="H70" s="91">
        <f t="shared" si="6"/>
        <v>-6.1555555555555577</v>
      </c>
      <c r="I70" s="85"/>
      <c r="J70" s="85" t="s">
        <v>101</v>
      </c>
      <c r="K70" s="86">
        <f t="shared" si="7"/>
        <v>9930.8838740232059</v>
      </c>
      <c r="L70" s="87">
        <f t="shared" si="8"/>
        <v>-16.620000000000005</v>
      </c>
      <c r="M70" s="88">
        <v>10.9</v>
      </c>
      <c r="N70" s="88">
        <v>17.809999999999999</v>
      </c>
      <c r="O70" s="88">
        <v>17.989999999999998</v>
      </c>
      <c r="P70" s="92">
        <v>16.920000000000002</v>
      </c>
      <c r="Q70" s="88">
        <v>15.99</v>
      </c>
      <c r="R70" s="88">
        <v>12.29</v>
      </c>
      <c r="S70" s="88">
        <v>15.08</v>
      </c>
      <c r="T70" s="88">
        <v>20.190000000000001</v>
      </c>
      <c r="U70" s="28">
        <f t="shared" si="9"/>
        <v>127.17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291140</v>
      </c>
      <c r="C71" s="28">
        <v>0</v>
      </c>
      <c r="D71" s="81">
        <v>34462.65</v>
      </c>
      <c r="E71" s="82">
        <v>253.46</v>
      </c>
      <c r="F71" s="82">
        <v>0</v>
      </c>
      <c r="G71" s="82">
        <v>270</v>
      </c>
      <c r="H71" s="91">
        <f t="shared" si="6"/>
        <v>-6.1259259259259222</v>
      </c>
      <c r="I71" s="85"/>
      <c r="J71" s="85" t="s">
        <v>101</v>
      </c>
      <c r="K71" s="86">
        <f t="shared" si="7"/>
        <v>9926.1880375601668</v>
      </c>
      <c r="L71" s="87">
        <f t="shared" si="8"/>
        <v>-16.539999999999992</v>
      </c>
      <c r="M71" s="88">
        <v>10.9</v>
      </c>
      <c r="N71" s="88">
        <v>17.77</v>
      </c>
      <c r="O71" s="88">
        <v>18.02</v>
      </c>
      <c r="P71" s="92">
        <v>16.86</v>
      </c>
      <c r="Q71" s="88">
        <v>16</v>
      </c>
      <c r="R71" s="88">
        <v>12.32</v>
      </c>
      <c r="S71" s="88">
        <v>15.1</v>
      </c>
      <c r="T71" s="88">
        <v>20.18</v>
      </c>
      <c r="U71" s="28">
        <f t="shared" si="9"/>
        <v>127.15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291210</v>
      </c>
      <c r="C72" s="28">
        <v>0</v>
      </c>
      <c r="D72" s="81">
        <v>39459.660000000003</v>
      </c>
      <c r="E72" s="82">
        <v>253.85</v>
      </c>
      <c r="F72" s="82">
        <v>0</v>
      </c>
      <c r="G72" s="82">
        <v>270</v>
      </c>
      <c r="H72" s="91">
        <f t="shared" si="6"/>
        <v>-5.9814814814814827</v>
      </c>
      <c r="I72" s="85"/>
      <c r="J72" s="85" t="s">
        <v>101</v>
      </c>
      <c r="K72" s="86">
        <f t="shared" si="7"/>
        <v>9882.097711246799</v>
      </c>
      <c r="L72" s="87">
        <f t="shared" si="8"/>
        <v>-16.150000000000006</v>
      </c>
      <c r="M72" s="88">
        <v>10.88</v>
      </c>
      <c r="N72" s="88">
        <v>17.739999999999998</v>
      </c>
      <c r="O72" s="88">
        <v>18.010000000000002</v>
      </c>
      <c r="P72" s="92">
        <v>16.8</v>
      </c>
      <c r="Q72" s="88">
        <v>15.9</v>
      </c>
      <c r="R72" s="88">
        <v>12.26</v>
      </c>
      <c r="S72" s="88">
        <v>15.03</v>
      </c>
      <c r="T72" s="88">
        <v>20.16</v>
      </c>
      <c r="U72" s="28">
        <f t="shared" si="9"/>
        <v>126.78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291660</v>
      </c>
      <c r="C73" s="28">
        <v>0</v>
      </c>
      <c r="D73" s="81">
        <v>35696.400000000001</v>
      </c>
      <c r="E73" s="82">
        <v>254.23</v>
      </c>
      <c r="F73" s="82">
        <v>0</v>
      </c>
      <c r="G73" s="82">
        <v>270</v>
      </c>
      <c r="H73" s="91">
        <f t="shared" si="6"/>
        <v>-5.8407407407407437</v>
      </c>
      <c r="I73" s="85"/>
      <c r="J73" s="85" t="s">
        <v>101</v>
      </c>
      <c r="K73" s="86">
        <f t="shared" si="7"/>
        <v>9875.109876883138</v>
      </c>
      <c r="L73" s="87">
        <f t="shared" si="8"/>
        <v>-15.77000000000001</v>
      </c>
      <c r="M73" s="88">
        <v>10.91</v>
      </c>
      <c r="N73" s="88">
        <v>17.760000000000002</v>
      </c>
      <c r="O73" s="88">
        <v>17.989999999999998</v>
      </c>
      <c r="P73" s="88">
        <v>16.75</v>
      </c>
      <c r="Q73" s="88">
        <v>15.98</v>
      </c>
      <c r="R73" s="88">
        <v>12.24</v>
      </c>
      <c r="S73" s="88">
        <v>15.06</v>
      </c>
      <c r="T73" s="88">
        <v>20.190000000000001</v>
      </c>
      <c r="U73" s="28">
        <f t="shared" si="9"/>
        <v>126.88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293210</v>
      </c>
      <c r="C74" s="28">
        <v>0</v>
      </c>
      <c r="D74" s="81">
        <v>32564.89</v>
      </c>
      <c r="E74" s="82">
        <v>255.43</v>
      </c>
      <c r="F74" s="82">
        <v>0</v>
      </c>
      <c r="G74" s="82">
        <v>270</v>
      </c>
      <c r="H74" s="91">
        <f t="shared" si="6"/>
        <v>-5.3962962962962937</v>
      </c>
      <c r="I74" s="85"/>
      <c r="J74" s="85" t="s">
        <v>101</v>
      </c>
      <c r="K74" s="86">
        <f t="shared" si="7"/>
        <v>9854.2803429511023</v>
      </c>
      <c r="L74" s="87">
        <f t="shared" si="8"/>
        <v>-14.569999999999993</v>
      </c>
      <c r="M74" s="88">
        <v>10.9</v>
      </c>
      <c r="N74" s="88">
        <v>17.84</v>
      </c>
      <c r="O74" s="88">
        <v>18.010000000000002</v>
      </c>
      <c r="P74" s="88">
        <v>16.920000000000002</v>
      </c>
      <c r="Q74" s="88">
        <v>15.99</v>
      </c>
      <c r="R74" s="88">
        <v>12.2</v>
      </c>
      <c r="S74" s="88">
        <v>15.1</v>
      </c>
      <c r="T74" s="88">
        <v>20.25</v>
      </c>
      <c r="U74" s="28">
        <f t="shared" si="9"/>
        <v>127.21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293090</v>
      </c>
      <c r="C75" s="28">
        <v>0</v>
      </c>
      <c r="D75" s="81">
        <v>33617.379999999997</v>
      </c>
      <c r="E75" s="82">
        <v>255.39</v>
      </c>
      <c r="F75" s="82">
        <v>0</v>
      </c>
      <c r="G75" s="82">
        <v>270</v>
      </c>
      <c r="H75" s="91">
        <f t="shared" si="6"/>
        <v>-5.4111111111111159</v>
      </c>
      <c r="I75" s="85"/>
      <c r="J75" s="85" t="s">
        <v>101</v>
      </c>
      <c r="K75" s="86">
        <f t="shared" si="7"/>
        <v>9842.6526958768936</v>
      </c>
      <c r="L75" s="87">
        <f t="shared" si="8"/>
        <v>-14.610000000000014</v>
      </c>
      <c r="M75" s="88">
        <v>10.86</v>
      </c>
      <c r="N75" s="88">
        <v>17.79</v>
      </c>
      <c r="O75" s="88">
        <v>17.96</v>
      </c>
      <c r="P75" s="88">
        <v>16.98</v>
      </c>
      <c r="Q75" s="88">
        <v>15.94</v>
      </c>
      <c r="R75" s="88">
        <v>12.28</v>
      </c>
      <c r="S75" s="88">
        <v>15.09</v>
      </c>
      <c r="T75" s="88">
        <v>20.14</v>
      </c>
      <c r="U75" s="28">
        <f t="shared" si="9"/>
        <v>127.04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293160</v>
      </c>
      <c r="C76" s="28">
        <v>0</v>
      </c>
      <c r="D76" s="81">
        <v>34238.629999999997</v>
      </c>
      <c r="E76" s="82">
        <v>255.66</v>
      </c>
      <c r="F76" s="82">
        <v>0</v>
      </c>
      <c r="G76" s="82">
        <v>270</v>
      </c>
      <c r="H76" s="91">
        <f t="shared" si="6"/>
        <v>-5.3111111111111127</v>
      </c>
      <c r="I76" s="85"/>
      <c r="J76" s="85" t="s">
        <v>101</v>
      </c>
      <c r="K76" s="86">
        <f t="shared" si="7"/>
        <v>9871.7294062426663</v>
      </c>
      <c r="L76" s="87">
        <f t="shared" si="8"/>
        <v>-14.340000000000003</v>
      </c>
      <c r="M76" s="88">
        <v>10.95</v>
      </c>
      <c r="N76" s="88">
        <v>17.84</v>
      </c>
      <c r="O76" s="88">
        <v>18.059999999999999</v>
      </c>
      <c r="P76" s="88">
        <v>16.87</v>
      </c>
      <c r="Q76" s="88">
        <v>16.079999999999998</v>
      </c>
      <c r="R76" s="88">
        <v>12.38</v>
      </c>
      <c r="S76" s="88">
        <v>15.13</v>
      </c>
      <c r="T76" s="88">
        <v>20.239999999999998</v>
      </c>
      <c r="U76" s="28">
        <f t="shared" si="9"/>
        <v>127.54999999999998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293410</v>
      </c>
      <c r="C77" s="28">
        <v>0</v>
      </c>
      <c r="D77" s="81">
        <v>33060.22</v>
      </c>
      <c r="E77" s="82">
        <v>255.69</v>
      </c>
      <c r="F77" s="82">
        <v>0</v>
      </c>
      <c r="G77" s="82">
        <v>270</v>
      </c>
      <c r="H77" s="91">
        <f t="shared" si="6"/>
        <v>-5.3000000000000007</v>
      </c>
      <c r="I77" s="85"/>
      <c r="J77" s="85" t="s">
        <v>101</v>
      </c>
      <c r="K77" s="86">
        <f t="shared" si="7"/>
        <v>9844.25995541476</v>
      </c>
      <c r="L77" s="87">
        <f t="shared" si="8"/>
        <v>-14.310000000000002</v>
      </c>
      <c r="M77" s="88">
        <v>10.67</v>
      </c>
      <c r="N77" s="88">
        <v>17.53</v>
      </c>
      <c r="O77" s="88">
        <v>17.75</v>
      </c>
      <c r="P77" s="88">
        <v>16.62</v>
      </c>
      <c r="Q77" s="88">
        <v>16.329999999999998</v>
      </c>
      <c r="R77" s="88">
        <v>12.24</v>
      </c>
      <c r="S77" s="88">
        <v>15.43</v>
      </c>
      <c r="T77" s="88">
        <v>20.64</v>
      </c>
      <c r="U77" s="28">
        <f t="shared" si="9"/>
        <v>127.21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294100</v>
      </c>
      <c r="C78" s="28">
        <v>0</v>
      </c>
      <c r="D78" s="81">
        <v>32654.69</v>
      </c>
      <c r="E78" s="82">
        <v>256.20999999999998</v>
      </c>
      <c r="F78" s="82">
        <v>0</v>
      </c>
      <c r="G78" s="82">
        <v>270</v>
      </c>
      <c r="H78" s="91">
        <f t="shared" si="6"/>
        <v>-5.1074074074074147</v>
      </c>
      <c r="I78" s="85"/>
      <c r="J78" s="85" t="s">
        <v>101</v>
      </c>
      <c r="K78" s="86">
        <f t="shared" si="7"/>
        <v>9875.2512236056373</v>
      </c>
      <c r="L78" s="87">
        <f t="shared" si="8"/>
        <v>-13.79000000000002</v>
      </c>
      <c r="M78" s="88">
        <v>10.7</v>
      </c>
      <c r="N78" s="88">
        <v>17.53</v>
      </c>
      <c r="O78" s="88">
        <v>17.78</v>
      </c>
      <c r="P78" s="88">
        <v>16.75</v>
      </c>
      <c r="Q78" s="88">
        <v>16.53</v>
      </c>
      <c r="R78" s="88">
        <v>12.22</v>
      </c>
      <c r="S78" s="88">
        <v>15.64</v>
      </c>
      <c r="T78" s="88">
        <v>20.72</v>
      </c>
      <c r="U78" s="28">
        <f t="shared" si="9"/>
        <v>127.87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294970</v>
      </c>
      <c r="C79" s="28">
        <v>0</v>
      </c>
      <c r="D79" s="81">
        <v>34130.300000000003</v>
      </c>
      <c r="E79" s="82">
        <v>257.45</v>
      </c>
      <c r="F79" s="82">
        <v>0</v>
      </c>
      <c r="G79" s="82">
        <v>270</v>
      </c>
      <c r="H79" s="91">
        <f t="shared" si="6"/>
        <v>-4.6481481481481524</v>
      </c>
      <c r="I79" s="85"/>
      <c r="J79" s="85" t="s">
        <v>101</v>
      </c>
      <c r="K79" s="86">
        <f t="shared" si="7"/>
        <v>9839.2159098854172</v>
      </c>
      <c r="L79" s="87" t="str">
        <f t="shared" si="8"/>
        <v/>
      </c>
      <c r="M79" s="88">
        <v>10.71</v>
      </c>
      <c r="N79" s="88">
        <v>17.61</v>
      </c>
      <c r="O79" s="88">
        <v>17.79</v>
      </c>
      <c r="P79" s="88">
        <v>16.7</v>
      </c>
      <c r="Q79" s="88">
        <v>16.93</v>
      </c>
      <c r="R79" s="88">
        <v>11.29</v>
      </c>
      <c r="S79" s="88">
        <v>15.96</v>
      </c>
      <c r="T79" s="88">
        <v>21.03</v>
      </c>
      <c r="U79" s="28">
        <f t="shared" si="9"/>
        <v>128.02000000000001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294950</v>
      </c>
      <c r="C80" s="28">
        <v>0</v>
      </c>
      <c r="D80" s="81">
        <v>37416.33</v>
      </c>
      <c r="E80" s="82">
        <v>257.52999999999997</v>
      </c>
      <c r="F80" s="82">
        <v>0</v>
      </c>
      <c r="G80" s="82">
        <v>270</v>
      </c>
      <c r="H80" s="91">
        <f t="shared" si="6"/>
        <v>-4.6185185185185285</v>
      </c>
      <c r="I80" s="85"/>
      <c r="J80" s="85" t="s">
        <v>101</v>
      </c>
      <c r="K80" s="86">
        <f t="shared" si="7"/>
        <v>9863.0509688191669</v>
      </c>
      <c r="L80" s="87" t="str">
        <f t="shared" si="8"/>
        <v/>
      </c>
      <c r="M80" s="88">
        <v>10.85</v>
      </c>
      <c r="N80" s="88">
        <v>17.73</v>
      </c>
      <c r="O80" s="88">
        <v>17.97</v>
      </c>
      <c r="P80" s="88">
        <v>16.239999999999998</v>
      </c>
      <c r="Q80" s="88">
        <v>17.010000000000002</v>
      </c>
      <c r="R80" s="88">
        <v>11.27</v>
      </c>
      <c r="S80" s="88">
        <v>16.09</v>
      </c>
      <c r="T80" s="88">
        <v>21.21</v>
      </c>
      <c r="U80" s="28">
        <f t="shared" si="9"/>
        <v>128.37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294780</v>
      </c>
      <c r="C81" s="28">
        <v>0</v>
      </c>
      <c r="D81" s="28">
        <v>31833.5</v>
      </c>
      <c r="E81" s="96">
        <v>258.10000000000002</v>
      </c>
      <c r="F81" s="97">
        <v>0</v>
      </c>
      <c r="G81" s="82">
        <v>270</v>
      </c>
      <c r="H81" s="98">
        <f t="shared" si="6"/>
        <v>-4.4074074074073986</v>
      </c>
      <c r="I81" s="115"/>
      <c r="J81" s="85" t="s">
        <v>101</v>
      </c>
      <c r="K81" s="99">
        <f t="shared" si="7"/>
        <v>9842.802216195274</v>
      </c>
      <c r="L81" s="87" t="str">
        <f t="shared" si="8"/>
        <v/>
      </c>
      <c r="M81" s="92">
        <v>10.9</v>
      </c>
      <c r="N81" s="92">
        <v>17.78</v>
      </c>
      <c r="O81" s="92">
        <v>17.940000000000001</v>
      </c>
      <c r="P81" s="92">
        <v>16.28</v>
      </c>
      <c r="Q81" s="92">
        <v>16.97</v>
      </c>
      <c r="R81" s="92">
        <v>11.21</v>
      </c>
      <c r="S81" s="92">
        <v>16.09</v>
      </c>
      <c r="T81" s="92">
        <v>21.22</v>
      </c>
      <c r="U81" s="28">
        <f t="shared" si="9"/>
        <v>128.39000000000001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0">SUM(B58:B81)</f>
        <v>6950820</v>
      </c>
      <c r="C82" s="35">
        <f t="shared" si="10"/>
        <v>0</v>
      </c>
      <c r="D82" s="35">
        <f t="shared" si="10"/>
        <v>782750.44000000006</v>
      </c>
      <c r="E82" s="35">
        <f t="shared" si="10"/>
        <v>6060.46</v>
      </c>
      <c r="F82" s="101">
        <f t="shared" si="10"/>
        <v>0</v>
      </c>
      <c r="G82" s="35">
        <f t="shared" si="10"/>
        <v>6480</v>
      </c>
      <c r="H82" s="102"/>
      <c r="I82" s="103"/>
      <c r="J82" s="104"/>
      <c r="K82" s="105">
        <f>IFERROR(AVERAGE(K58:K81),"")</f>
        <v>9939.7143947721052</v>
      </c>
      <c r="L82" s="40">
        <f t="shared" ref="L82:U82" si="11">SUM(L58:L81)</f>
        <v>-382.62</v>
      </c>
      <c r="M82" s="40">
        <f t="shared" si="11"/>
        <v>259.87</v>
      </c>
      <c r="N82" s="39">
        <f t="shared" si="11"/>
        <v>424.8599999999999</v>
      </c>
      <c r="O82" s="39">
        <f t="shared" si="11"/>
        <v>429.41</v>
      </c>
      <c r="P82" s="39">
        <f t="shared" si="11"/>
        <v>401.96000000000004</v>
      </c>
      <c r="Q82" s="39">
        <f t="shared" si="11"/>
        <v>385.57999999999993</v>
      </c>
      <c r="R82" s="39">
        <f t="shared" si="11"/>
        <v>291.51</v>
      </c>
      <c r="S82" s="39">
        <f t="shared" si="11"/>
        <v>364.14999999999992</v>
      </c>
      <c r="T82" s="39">
        <f t="shared" si="11"/>
        <v>486.77</v>
      </c>
      <c r="U82" s="118">
        <f t="shared" si="11"/>
        <v>3044.11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0</v>
      </c>
      <c r="J87" s="41"/>
      <c r="K87" s="62" t="s">
        <v>59</v>
      </c>
      <c r="L87" s="113">
        <v>35533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1</v>
      </c>
      <c r="B88" s="57">
        <v>0</v>
      </c>
      <c r="C88" s="57">
        <v>0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33299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>
        <f>IFERROR(3412.14/K82,"")</f>
        <v>0.34328350538871116</v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K90:L90"/>
    <mergeCell ref="B91:B92"/>
    <mergeCell ref="C91:I92"/>
    <mergeCell ref="K91:L91"/>
    <mergeCell ref="K92:L92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A85:A86"/>
    <mergeCell ref="B85:B86"/>
    <mergeCell ref="C85:C86"/>
    <mergeCell ref="D85:D86"/>
    <mergeCell ref="H85:I8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H41:H42"/>
    <mergeCell ref="I41:I42"/>
    <mergeCell ref="K44:L44"/>
    <mergeCell ref="C45:I46"/>
    <mergeCell ref="K45:L45"/>
    <mergeCell ref="K46:L46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A39:A40"/>
    <mergeCell ref="B39:B40"/>
    <mergeCell ref="C39:C40"/>
    <mergeCell ref="D39:D40"/>
    <mergeCell ref="H39:I40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1:C1"/>
    <mergeCell ref="D1:U2"/>
    <mergeCell ref="V1:X4"/>
    <mergeCell ref="A2:C2"/>
    <mergeCell ref="A3:C3"/>
    <mergeCell ref="D3:U4"/>
    <mergeCell ref="A4:C4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B3A4-EDFD-41E0-95EC-FD20F81C607D}">
  <dimension ref="A1:Z109"/>
  <sheetViews>
    <sheetView zoomScale="85" zoomScaleNormal="85" workbookViewId="0">
      <selection activeCell="S98" sqref="S98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28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81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0</v>
      </c>
      <c r="C12" s="28">
        <v>1401.15</v>
      </c>
      <c r="D12" s="28">
        <v>0</v>
      </c>
      <c r="E12" s="28">
        <v>0</v>
      </c>
      <c r="F12" s="28">
        <v>0</v>
      </c>
      <c r="G12" s="28">
        <v>0</v>
      </c>
      <c r="H12" s="28">
        <v>654.87</v>
      </c>
      <c r="I12" s="28">
        <v>654.86</v>
      </c>
      <c r="J12" s="112">
        <v>0</v>
      </c>
      <c r="K12" s="28">
        <f t="shared" ref="K12:K35" si="0">IF(J12=0,0,100*(G12-J12)/J12)</f>
        <v>0</v>
      </c>
      <c r="L12" s="28"/>
      <c r="M12" s="28"/>
      <c r="N12" s="28" t="str">
        <f t="shared" ref="N12:N35" si="1">IFERROR(V12*1000*2.2*$K$46/G12/1000,"")</f>
        <v/>
      </c>
      <c r="O12" s="28" t="str">
        <f t="shared" ref="O12:O35" si="2">IF(OR(K12&gt;5,K12&lt;-5),G12-J12,"")</f>
        <v/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f t="shared" ref="V12:V35" si="3">+SUM(P12:U12)</f>
        <v>0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0</v>
      </c>
      <c r="C13" s="28">
        <v>1404.7</v>
      </c>
      <c r="D13" s="28">
        <v>0</v>
      </c>
      <c r="E13" s="28">
        <v>0</v>
      </c>
      <c r="F13" s="28">
        <v>0</v>
      </c>
      <c r="G13" s="28">
        <v>0</v>
      </c>
      <c r="H13" s="28">
        <v>653.22</v>
      </c>
      <c r="I13" s="28">
        <v>652.85</v>
      </c>
      <c r="J13" s="112">
        <v>0</v>
      </c>
      <c r="K13" s="28">
        <f t="shared" si="0"/>
        <v>0</v>
      </c>
      <c r="L13" s="28"/>
      <c r="M13" s="28"/>
      <c r="N13" s="28" t="str">
        <f t="shared" si="1"/>
        <v/>
      </c>
      <c r="O13" s="28" t="str">
        <f t="shared" si="2"/>
        <v/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f t="shared" si="3"/>
        <v>0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0</v>
      </c>
      <c r="C14" s="28">
        <v>1344.69</v>
      </c>
      <c r="D14" s="28">
        <v>0</v>
      </c>
      <c r="E14" s="28">
        <v>0</v>
      </c>
      <c r="F14" s="28">
        <v>0</v>
      </c>
      <c r="G14" s="28">
        <v>0</v>
      </c>
      <c r="H14" s="28">
        <v>711.59</v>
      </c>
      <c r="I14" s="28">
        <v>712.13</v>
      </c>
      <c r="J14" s="112">
        <v>0</v>
      </c>
      <c r="K14" s="28">
        <f t="shared" si="0"/>
        <v>0</v>
      </c>
      <c r="L14" s="28"/>
      <c r="M14" s="28"/>
      <c r="N14" s="28" t="str">
        <f t="shared" si="1"/>
        <v/>
      </c>
      <c r="O14" s="28" t="str">
        <f t="shared" si="2"/>
        <v/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f t="shared" si="3"/>
        <v>0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0</v>
      </c>
      <c r="C15" s="28">
        <v>1344.73</v>
      </c>
      <c r="D15" s="28">
        <v>0</v>
      </c>
      <c r="E15" s="28">
        <v>0</v>
      </c>
      <c r="F15" s="28">
        <v>0</v>
      </c>
      <c r="G15" s="28">
        <v>0</v>
      </c>
      <c r="H15" s="28">
        <v>690.58</v>
      </c>
      <c r="I15" s="28">
        <v>691.32</v>
      </c>
      <c r="J15" s="112">
        <v>0</v>
      </c>
      <c r="K15" s="28">
        <f t="shared" si="0"/>
        <v>0</v>
      </c>
      <c r="L15" s="28"/>
      <c r="M15" s="28"/>
      <c r="N15" s="28" t="str">
        <f t="shared" si="1"/>
        <v/>
      </c>
      <c r="O15" s="28" t="str">
        <f t="shared" si="2"/>
        <v/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f t="shared" si="3"/>
        <v>0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0</v>
      </c>
      <c r="C16" s="28">
        <v>1342.6</v>
      </c>
      <c r="D16" s="28">
        <v>0</v>
      </c>
      <c r="E16" s="28">
        <v>0</v>
      </c>
      <c r="F16" s="28">
        <v>0</v>
      </c>
      <c r="G16" s="28">
        <v>0</v>
      </c>
      <c r="H16" s="28">
        <v>701.03</v>
      </c>
      <c r="I16" s="28">
        <v>706.12</v>
      </c>
      <c r="J16" s="112">
        <v>0</v>
      </c>
      <c r="K16" s="28">
        <f t="shared" si="0"/>
        <v>0</v>
      </c>
      <c r="L16" s="28"/>
      <c r="M16" s="28"/>
      <c r="N16" s="28" t="str">
        <f t="shared" si="1"/>
        <v/>
      </c>
      <c r="O16" s="28" t="str">
        <f t="shared" si="2"/>
        <v/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f t="shared" si="3"/>
        <v>0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0</v>
      </c>
      <c r="C17" s="28">
        <v>1339.65</v>
      </c>
      <c r="D17" s="28">
        <v>0</v>
      </c>
      <c r="E17" s="28">
        <v>0</v>
      </c>
      <c r="F17" s="28">
        <v>0</v>
      </c>
      <c r="G17" s="28">
        <v>0</v>
      </c>
      <c r="H17" s="28">
        <v>701.57</v>
      </c>
      <c r="I17" s="28">
        <v>711.22</v>
      </c>
      <c r="J17" s="112">
        <v>0</v>
      </c>
      <c r="K17" s="28">
        <f t="shared" si="0"/>
        <v>0</v>
      </c>
      <c r="L17" s="28"/>
      <c r="M17" s="28"/>
      <c r="N17" s="28" t="str">
        <f t="shared" si="1"/>
        <v/>
      </c>
      <c r="O17" s="28" t="str">
        <f t="shared" si="2"/>
        <v/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f t="shared" si="3"/>
        <v>0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0</v>
      </c>
      <c r="C18" s="28">
        <v>1322.49</v>
      </c>
      <c r="D18" s="28">
        <v>0</v>
      </c>
      <c r="E18" s="28">
        <v>0</v>
      </c>
      <c r="F18" s="28">
        <v>0</v>
      </c>
      <c r="G18" s="28">
        <v>0</v>
      </c>
      <c r="H18" s="28">
        <v>685.03</v>
      </c>
      <c r="I18" s="28">
        <v>693.48</v>
      </c>
      <c r="J18" s="112">
        <v>0</v>
      </c>
      <c r="K18" s="28">
        <f t="shared" si="0"/>
        <v>0</v>
      </c>
      <c r="L18" s="28"/>
      <c r="M18" s="28"/>
      <c r="N18" s="28" t="str">
        <f t="shared" si="1"/>
        <v/>
      </c>
      <c r="O18" s="28" t="str">
        <f t="shared" si="2"/>
        <v/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f t="shared" si="3"/>
        <v>0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0</v>
      </c>
      <c r="C19" s="28">
        <v>1298.1300000000001</v>
      </c>
      <c r="D19" s="28">
        <v>0</v>
      </c>
      <c r="E19" s="28">
        <v>0</v>
      </c>
      <c r="F19" s="28">
        <v>0</v>
      </c>
      <c r="G19" s="28">
        <v>0</v>
      </c>
      <c r="H19" s="28">
        <v>697.62</v>
      </c>
      <c r="I19" s="28">
        <v>705.34</v>
      </c>
      <c r="J19" s="112">
        <v>0</v>
      </c>
      <c r="K19" s="28">
        <f t="shared" si="0"/>
        <v>0</v>
      </c>
      <c r="L19" s="28"/>
      <c r="M19" s="28"/>
      <c r="N19" s="28" t="str">
        <f t="shared" si="1"/>
        <v/>
      </c>
      <c r="O19" s="28" t="str">
        <f t="shared" si="2"/>
        <v/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f t="shared" si="3"/>
        <v>0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0</v>
      </c>
      <c r="C20" s="28">
        <v>1278.74</v>
      </c>
      <c r="D20" s="28">
        <v>0</v>
      </c>
      <c r="E20" s="28">
        <v>0</v>
      </c>
      <c r="F20" s="28">
        <v>0</v>
      </c>
      <c r="G20" s="28">
        <v>0</v>
      </c>
      <c r="H20" s="28">
        <v>725.32</v>
      </c>
      <c r="I20" s="28">
        <v>741.15</v>
      </c>
      <c r="J20" s="112">
        <v>0</v>
      </c>
      <c r="K20" s="28">
        <f t="shared" si="0"/>
        <v>0</v>
      </c>
      <c r="L20" s="28"/>
      <c r="M20" s="28"/>
      <c r="N20" s="28" t="str">
        <f t="shared" si="1"/>
        <v/>
      </c>
      <c r="O20" s="28" t="str">
        <f t="shared" si="2"/>
        <v/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f t="shared" si="3"/>
        <v>0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0</v>
      </c>
      <c r="C21" s="28">
        <v>1267.1799999999998</v>
      </c>
      <c r="D21" s="28">
        <v>0</v>
      </c>
      <c r="E21" s="28">
        <v>0</v>
      </c>
      <c r="F21" s="28">
        <v>0</v>
      </c>
      <c r="G21" s="28">
        <v>0</v>
      </c>
      <c r="H21" s="28">
        <v>736.36</v>
      </c>
      <c r="I21" s="28">
        <v>759.57</v>
      </c>
      <c r="J21" s="112">
        <v>0</v>
      </c>
      <c r="K21" s="28">
        <f t="shared" si="0"/>
        <v>0</v>
      </c>
      <c r="L21" s="28"/>
      <c r="M21" s="28"/>
      <c r="N21" s="28" t="str">
        <f t="shared" si="1"/>
        <v/>
      </c>
      <c r="O21" s="28" t="str">
        <f t="shared" si="2"/>
        <v/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f t="shared" si="3"/>
        <v>0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0</v>
      </c>
      <c r="C22" s="28">
        <v>1276.8600000000001</v>
      </c>
      <c r="D22" s="28">
        <v>0</v>
      </c>
      <c r="E22" s="28">
        <v>0</v>
      </c>
      <c r="F22" s="28">
        <v>0</v>
      </c>
      <c r="G22" s="28">
        <v>0</v>
      </c>
      <c r="H22" s="28">
        <v>773.16</v>
      </c>
      <c r="I22" s="28">
        <v>791.23</v>
      </c>
      <c r="J22" s="112">
        <v>0</v>
      </c>
      <c r="K22" s="28">
        <f t="shared" si="0"/>
        <v>0</v>
      </c>
      <c r="L22" s="28"/>
      <c r="M22" s="28"/>
      <c r="N22" s="28" t="str">
        <f t="shared" si="1"/>
        <v/>
      </c>
      <c r="O22" s="28" t="str">
        <f t="shared" si="2"/>
        <v/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f t="shared" si="3"/>
        <v>0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0</v>
      </c>
      <c r="C23" s="28">
        <v>1307.53</v>
      </c>
      <c r="D23" s="28">
        <v>0</v>
      </c>
      <c r="E23" s="28">
        <v>0</v>
      </c>
      <c r="F23" s="28">
        <v>0</v>
      </c>
      <c r="G23" s="28">
        <v>0</v>
      </c>
      <c r="H23" s="28">
        <v>765.96</v>
      </c>
      <c r="I23" s="28">
        <v>781.84</v>
      </c>
      <c r="J23" s="112">
        <v>0</v>
      </c>
      <c r="K23" s="28">
        <f t="shared" si="0"/>
        <v>0</v>
      </c>
      <c r="L23" s="28"/>
      <c r="M23" s="28"/>
      <c r="N23" s="28" t="str">
        <f t="shared" si="1"/>
        <v/>
      </c>
      <c r="O23" s="28" t="str">
        <f t="shared" si="2"/>
        <v/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f t="shared" si="3"/>
        <v>0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0</v>
      </c>
      <c r="C24" s="28">
        <v>1318.92</v>
      </c>
      <c r="D24" s="28">
        <v>0</v>
      </c>
      <c r="E24" s="28">
        <v>0</v>
      </c>
      <c r="F24" s="28">
        <v>0</v>
      </c>
      <c r="G24" s="28">
        <v>0</v>
      </c>
      <c r="H24" s="28">
        <v>752.68</v>
      </c>
      <c r="I24" s="28">
        <v>775.65</v>
      </c>
      <c r="J24" s="112">
        <v>0</v>
      </c>
      <c r="K24" s="28">
        <f t="shared" si="0"/>
        <v>0</v>
      </c>
      <c r="L24" s="28"/>
      <c r="M24" s="28"/>
      <c r="N24" s="28" t="str">
        <f t="shared" si="1"/>
        <v/>
      </c>
      <c r="O24" s="28" t="str">
        <f t="shared" si="2"/>
        <v/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f t="shared" si="3"/>
        <v>0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0</v>
      </c>
      <c r="C25" s="28">
        <v>1295.04</v>
      </c>
      <c r="D25" s="28">
        <v>0</v>
      </c>
      <c r="E25" s="28">
        <v>0</v>
      </c>
      <c r="F25" s="28">
        <v>0</v>
      </c>
      <c r="G25" s="28">
        <v>0</v>
      </c>
      <c r="H25" s="28">
        <v>773.6</v>
      </c>
      <c r="I25" s="28">
        <v>797.17</v>
      </c>
      <c r="J25" s="112">
        <v>0</v>
      </c>
      <c r="K25" s="28">
        <f t="shared" si="0"/>
        <v>0</v>
      </c>
      <c r="L25" s="28"/>
      <c r="M25" s="28"/>
      <c r="N25" s="28" t="str">
        <f t="shared" si="1"/>
        <v/>
      </c>
      <c r="O25" s="28" t="str">
        <f t="shared" si="2"/>
        <v/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f t="shared" si="3"/>
        <v>0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0</v>
      </c>
      <c r="C26" s="28">
        <v>1264.44</v>
      </c>
      <c r="D26" s="28">
        <v>0</v>
      </c>
      <c r="E26" s="28">
        <v>0</v>
      </c>
      <c r="F26" s="28">
        <v>0</v>
      </c>
      <c r="G26" s="28">
        <v>0</v>
      </c>
      <c r="H26" s="28">
        <v>789.77</v>
      </c>
      <c r="I26" s="28">
        <v>814.2</v>
      </c>
      <c r="J26" s="112">
        <v>0</v>
      </c>
      <c r="K26" s="28">
        <f t="shared" si="0"/>
        <v>0</v>
      </c>
      <c r="L26" s="28"/>
      <c r="M26" s="28"/>
      <c r="N26" s="28" t="str">
        <f t="shared" si="1"/>
        <v/>
      </c>
      <c r="O26" s="28" t="str">
        <f t="shared" si="2"/>
        <v/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f t="shared" si="3"/>
        <v>0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0</v>
      </c>
      <c r="C27" s="28">
        <v>1228.75</v>
      </c>
      <c r="D27" s="28">
        <v>0</v>
      </c>
      <c r="E27" s="28">
        <v>0</v>
      </c>
      <c r="F27" s="28">
        <v>0</v>
      </c>
      <c r="G27" s="28">
        <v>0</v>
      </c>
      <c r="H27" s="28">
        <v>809.95</v>
      </c>
      <c r="I27" s="28">
        <v>814.25</v>
      </c>
      <c r="J27" s="112">
        <v>0</v>
      </c>
      <c r="K27" s="28">
        <f t="shared" si="0"/>
        <v>0</v>
      </c>
      <c r="L27" s="28"/>
      <c r="M27" s="28"/>
      <c r="N27" s="28" t="str">
        <f t="shared" si="1"/>
        <v/>
      </c>
      <c r="O27" s="28" t="str">
        <f t="shared" si="2"/>
        <v/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f t="shared" si="3"/>
        <v>0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0</v>
      </c>
      <c r="C28" s="28">
        <v>1243.06</v>
      </c>
      <c r="D28" s="28">
        <v>0</v>
      </c>
      <c r="E28" s="28">
        <v>0</v>
      </c>
      <c r="F28" s="28">
        <v>0</v>
      </c>
      <c r="G28" s="28">
        <v>0</v>
      </c>
      <c r="H28" s="28">
        <v>779.01</v>
      </c>
      <c r="I28" s="28">
        <v>789.83</v>
      </c>
      <c r="J28" s="112">
        <v>0</v>
      </c>
      <c r="K28" s="28">
        <f t="shared" si="0"/>
        <v>0</v>
      </c>
      <c r="L28" s="28"/>
      <c r="M28" s="28"/>
      <c r="N28" s="28" t="str">
        <f t="shared" si="1"/>
        <v/>
      </c>
      <c r="O28" s="28" t="str">
        <f t="shared" si="2"/>
        <v/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f t="shared" si="3"/>
        <v>0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0</v>
      </c>
      <c r="C29" s="28">
        <v>1245.1199999999999</v>
      </c>
      <c r="D29" s="28">
        <v>0</v>
      </c>
      <c r="E29" s="28">
        <v>0</v>
      </c>
      <c r="F29" s="28">
        <v>0</v>
      </c>
      <c r="G29" s="28">
        <v>0</v>
      </c>
      <c r="H29" s="28">
        <v>774.37</v>
      </c>
      <c r="I29" s="28">
        <v>790.28</v>
      </c>
      <c r="J29" s="112">
        <v>0</v>
      </c>
      <c r="K29" s="28">
        <f t="shared" si="0"/>
        <v>0</v>
      </c>
      <c r="L29" s="28"/>
      <c r="M29" s="28"/>
      <c r="N29" s="28" t="str">
        <f t="shared" si="1"/>
        <v/>
      </c>
      <c r="O29" s="28" t="str">
        <f t="shared" si="2"/>
        <v/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f t="shared" si="3"/>
        <v>0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0</v>
      </c>
      <c r="C30" s="28">
        <v>1270.0900000000001</v>
      </c>
      <c r="D30" s="28">
        <v>0</v>
      </c>
      <c r="E30" s="28">
        <v>0</v>
      </c>
      <c r="F30" s="28">
        <v>0</v>
      </c>
      <c r="G30" s="28">
        <v>0</v>
      </c>
      <c r="H30" s="28">
        <v>767.41</v>
      </c>
      <c r="I30" s="28">
        <v>787.41</v>
      </c>
      <c r="J30" s="112">
        <v>0</v>
      </c>
      <c r="K30" s="28">
        <f t="shared" si="0"/>
        <v>0</v>
      </c>
      <c r="L30" s="28"/>
      <c r="M30" s="28"/>
      <c r="N30" s="28" t="str">
        <f t="shared" si="1"/>
        <v/>
      </c>
      <c r="O30" s="28" t="str">
        <f t="shared" si="2"/>
        <v/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f t="shared" si="3"/>
        <v>0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0</v>
      </c>
      <c r="C31" s="28">
        <v>1274.31</v>
      </c>
      <c r="D31" s="28">
        <v>0</v>
      </c>
      <c r="E31" s="28">
        <v>0</v>
      </c>
      <c r="F31" s="28">
        <v>0</v>
      </c>
      <c r="G31" s="28">
        <v>0</v>
      </c>
      <c r="H31" s="28">
        <v>816.74</v>
      </c>
      <c r="I31" s="28">
        <v>834.33</v>
      </c>
      <c r="J31" s="112">
        <v>0</v>
      </c>
      <c r="K31" s="28">
        <f t="shared" si="0"/>
        <v>0</v>
      </c>
      <c r="L31" s="28"/>
      <c r="M31" s="28"/>
      <c r="N31" s="28" t="str">
        <f t="shared" si="1"/>
        <v/>
      </c>
      <c r="O31" s="28" t="str">
        <f t="shared" si="2"/>
        <v/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f t="shared" si="3"/>
        <v>0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0</v>
      </c>
      <c r="C32" s="28">
        <v>1347.7399999999998</v>
      </c>
      <c r="D32" s="28">
        <v>0</v>
      </c>
      <c r="E32" s="28">
        <v>0</v>
      </c>
      <c r="F32" s="28">
        <v>0</v>
      </c>
      <c r="G32" s="28">
        <v>0</v>
      </c>
      <c r="H32" s="28">
        <v>742.28</v>
      </c>
      <c r="I32" s="28">
        <v>747.43</v>
      </c>
      <c r="J32" s="112">
        <v>0</v>
      </c>
      <c r="K32" s="28">
        <f t="shared" si="0"/>
        <v>0</v>
      </c>
      <c r="L32" s="28"/>
      <c r="M32" s="28"/>
      <c r="N32" s="28" t="str">
        <f t="shared" si="1"/>
        <v/>
      </c>
      <c r="O32" s="28" t="str">
        <f t="shared" si="2"/>
        <v/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f t="shared" si="3"/>
        <v>0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0</v>
      </c>
      <c r="C33" s="28">
        <v>1303.83</v>
      </c>
      <c r="D33" s="28">
        <v>0</v>
      </c>
      <c r="E33" s="28">
        <v>0</v>
      </c>
      <c r="F33" s="28">
        <v>0</v>
      </c>
      <c r="G33" s="28">
        <v>0</v>
      </c>
      <c r="H33" s="28">
        <v>769.67</v>
      </c>
      <c r="I33" s="28">
        <v>770.6</v>
      </c>
      <c r="J33" s="112">
        <v>0</v>
      </c>
      <c r="K33" s="28">
        <f t="shared" si="0"/>
        <v>0</v>
      </c>
      <c r="L33" s="28"/>
      <c r="M33" s="28"/>
      <c r="N33" s="28" t="str">
        <f t="shared" si="1"/>
        <v/>
      </c>
      <c r="O33" s="28" t="str">
        <f t="shared" si="2"/>
        <v/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f t="shared" si="3"/>
        <v>0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0</v>
      </c>
      <c r="C34" s="28">
        <v>1300.58</v>
      </c>
      <c r="D34" s="28">
        <v>0</v>
      </c>
      <c r="E34" s="28">
        <v>0</v>
      </c>
      <c r="F34" s="28">
        <v>0</v>
      </c>
      <c r="G34" s="28">
        <v>0</v>
      </c>
      <c r="H34" s="28">
        <v>766.65</v>
      </c>
      <c r="I34" s="28">
        <v>763.87</v>
      </c>
      <c r="J34" s="112">
        <v>0</v>
      </c>
      <c r="K34" s="28">
        <f t="shared" si="0"/>
        <v>0</v>
      </c>
      <c r="L34" s="28"/>
      <c r="M34" s="28"/>
      <c r="N34" s="28" t="str">
        <f t="shared" si="1"/>
        <v/>
      </c>
      <c r="O34" s="28" t="str">
        <f t="shared" si="2"/>
        <v/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f t="shared" si="3"/>
        <v>0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0</v>
      </c>
      <c r="C35" s="28">
        <v>1315.46</v>
      </c>
      <c r="D35" s="28">
        <v>0</v>
      </c>
      <c r="E35" s="28">
        <v>0</v>
      </c>
      <c r="F35" s="28">
        <v>0</v>
      </c>
      <c r="G35" s="28">
        <v>0</v>
      </c>
      <c r="H35" s="28">
        <v>749.54</v>
      </c>
      <c r="I35" s="28">
        <v>747.9</v>
      </c>
      <c r="J35" s="112">
        <v>0</v>
      </c>
      <c r="K35" s="116">
        <f t="shared" si="0"/>
        <v>0</v>
      </c>
      <c r="L35" s="28"/>
      <c r="M35" s="28"/>
      <c r="N35" s="28" t="str">
        <f t="shared" si="1"/>
        <v/>
      </c>
      <c r="O35" s="28" t="str">
        <f t="shared" si="2"/>
        <v/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f t="shared" si="3"/>
        <v>0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0</v>
      </c>
      <c r="C36" s="35">
        <f t="shared" ref="C36:J36" si="4">SUM(C12:C35)</f>
        <v>31335.790000000008</v>
      </c>
      <c r="D36" s="35">
        <f t="shared" si="4"/>
        <v>0</v>
      </c>
      <c r="E36" s="35">
        <f t="shared" si="4"/>
        <v>0</v>
      </c>
      <c r="F36" s="35">
        <f t="shared" si="4"/>
        <v>0</v>
      </c>
      <c r="G36" s="35">
        <f t="shared" si="4"/>
        <v>0</v>
      </c>
      <c r="H36" s="35">
        <f t="shared" si="4"/>
        <v>17787.980000000003</v>
      </c>
      <c r="I36" s="35">
        <f t="shared" si="4"/>
        <v>18034.03</v>
      </c>
      <c r="J36" s="35">
        <f t="shared" si="4"/>
        <v>0</v>
      </c>
      <c r="K36" s="36"/>
      <c r="L36" s="37"/>
      <c r="M36" s="38"/>
      <c r="N36" s="35" t="str">
        <f>IFERROR(AVERAGE(N12:N35),"")</f>
        <v/>
      </c>
      <c r="O36" s="39">
        <f t="shared" ref="O36:U36" si="5">SUM(O12:O35)</f>
        <v>0</v>
      </c>
      <c r="P36" s="39">
        <f t="shared" si="5"/>
        <v>0</v>
      </c>
      <c r="Q36" s="39">
        <f t="shared" si="5"/>
        <v>0</v>
      </c>
      <c r="R36" s="39">
        <f t="shared" si="5"/>
        <v>0</v>
      </c>
      <c r="S36" s="39">
        <f t="shared" si="5"/>
        <v>0</v>
      </c>
      <c r="T36" s="39">
        <f t="shared" si="5"/>
        <v>0</v>
      </c>
      <c r="U36" s="39">
        <f t="shared" si="5"/>
        <v>0</v>
      </c>
      <c r="V36" s="39">
        <f>SUM(V12:V35)</f>
        <v>0</v>
      </c>
      <c r="W36" s="40">
        <f>SUM(W12:W35)</f>
        <v>0</v>
      </c>
      <c r="X36" s="40"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X36</f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35822.01</v>
      </c>
      <c r="J41" s="41"/>
      <c r="K41" s="13" t="s">
        <v>59</v>
      </c>
      <c r="L41" s="113">
        <v>35440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0</v>
      </c>
      <c r="B42" s="57">
        <v>0</v>
      </c>
      <c r="C42" s="57">
        <v>0</v>
      </c>
      <c r="D42" s="57">
        <v>1</v>
      </c>
      <c r="E42" s="58"/>
      <c r="F42" s="58"/>
      <c r="G42" s="41"/>
      <c r="H42" s="217"/>
      <c r="I42" s="219"/>
      <c r="J42" s="41"/>
      <c r="K42" s="59" t="s">
        <v>60</v>
      </c>
      <c r="L42" s="114">
        <v>7269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 t="str">
        <f>IFERROR(3412.14/N36,"")</f>
        <v/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28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José Leal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295660</v>
      </c>
      <c r="C58" s="28">
        <v>0</v>
      </c>
      <c r="D58" s="81">
        <v>30303.65</v>
      </c>
      <c r="E58" s="82">
        <v>258.45999999999998</v>
      </c>
      <c r="F58" s="83">
        <v>0</v>
      </c>
      <c r="G58" s="82">
        <v>270</v>
      </c>
      <c r="H58" s="84">
        <f t="shared" ref="H58:H81" si="6">IF(G58=0,0,100*(E58-G58)/G58)</f>
        <v>-4.2740740740740817</v>
      </c>
      <c r="I58" s="85"/>
      <c r="J58" s="85" t="s">
        <v>102</v>
      </c>
      <c r="K58" s="86">
        <f t="shared" ref="K58:K81" si="7">IFERROR(U58*1000*2.2*$K$92/E58/1000,"")</f>
        <v>9865.0740849647937</v>
      </c>
      <c r="L58" s="87" t="str">
        <f t="shared" ref="L58:L81" si="8">IF(OR(H58&gt;5,H58&lt;-5),E58-G58,"")</f>
        <v/>
      </c>
      <c r="M58" s="88">
        <v>10.94</v>
      </c>
      <c r="N58" s="88">
        <v>17.8</v>
      </c>
      <c r="O58" s="88">
        <v>18.04</v>
      </c>
      <c r="P58" s="88">
        <v>16.329999999999998</v>
      </c>
      <c r="Q58" s="88">
        <v>17.100000000000001</v>
      </c>
      <c r="R58" s="88">
        <v>11.27</v>
      </c>
      <c r="S58" s="88">
        <v>16.12</v>
      </c>
      <c r="T58" s="88">
        <v>21.26</v>
      </c>
      <c r="U58" s="28">
        <f>+SUM(M58:T58)</f>
        <v>128.86000000000001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295370</v>
      </c>
      <c r="C59" s="28">
        <v>0</v>
      </c>
      <c r="D59" s="81">
        <v>30955.13</v>
      </c>
      <c r="E59" s="82">
        <v>258.23</v>
      </c>
      <c r="F59" s="82">
        <v>0</v>
      </c>
      <c r="G59" s="82">
        <v>270</v>
      </c>
      <c r="H59" s="91">
        <f t="shared" si="6"/>
        <v>-4.3592592592592529</v>
      </c>
      <c r="I59" s="85"/>
      <c r="J59" s="85" t="s">
        <v>102</v>
      </c>
      <c r="K59" s="86">
        <f t="shared" si="7"/>
        <v>9895.3156178600493</v>
      </c>
      <c r="L59" s="87" t="str">
        <f t="shared" si="8"/>
        <v/>
      </c>
      <c r="M59" s="88">
        <v>10.97</v>
      </c>
      <c r="N59" s="88">
        <v>17.84</v>
      </c>
      <c r="O59" s="88">
        <v>18.02</v>
      </c>
      <c r="P59" s="88">
        <v>16.45</v>
      </c>
      <c r="Q59" s="88">
        <v>17.170000000000002</v>
      </c>
      <c r="R59" s="88">
        <v>11.2</v>
      </c>
      <c r="S59" s="88">
        <v>16.2</v>
      </c>
      <c r="T59" s="88">
        <v>21.29</v>
      </c>
      <c r="U59" s="28">
        <f t="shared" ref="U59:U81" si="9">+SUM(M59:T59)</f>
        <v>129.14000000000001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295250</v>
      </c>
      <c r="C60" s="28">
        <v>0</v>
      </c>
      <c r="D60" s="81">
        <v>30528.5</v>
      </c>
      <c r="E60" s="82">
        <v>258.13</v>
      </c>
      <c r="F60" s="82">
        <v>0</v>
      </c>
      <c r="G60" s="82">
        <v>270</v>
      </c>
      <c r="H60" s="91">
        <f t="shared" si="6"/>
        <v>-4.3962962962962981</v>
      </c>
      <c r="I60" s="85"/>
      <c r="J60" s="85" t="s">
        <v>102</v>
      </c>
      <c r="K60" s="86">
        <f t="shared" si="7"/>
        <v>9921.3788556153886</v>
      </c>
      <c r="L60" s="87" t="str">
        <f t="shared" si="8"/>
        <v/>
      </c>
      <c r="M60" s="88">
        <v>11.03</v>
      </c>
      <c r="N60" s="88">
        <v>17.899999999999999</v>
      </c>
      <c r="O60" s="88">
        <v>18.100000000000001</v>
      </c>
      <c r="P60" s="88">
        <v>16.37</v>
      </c>
      <c r="Q60" s="88">
        <v>17.170000000000002</v>
      </c>
      <c r="R60" s="88">
        <v>11.2</v>
      </c>
      <c r="S60" s="88">
        <v>16.260000000000002</v>
      </c>
      <c r="T60" s="88">
        <v>21.4</v>
      </c>
      <c r="U60" s="28">
        <f t="shared" si="9"/>
        <v>129.43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296640</v>
      </c>
      <c r="C61" s="28">
        <v>0</v>
      </c>
      <c r="D61" s="81">
        <v>30961.02</v>
      </c>
      <c r="E61" s="82">
        <v>259.07</v>
      </c>
      <c r="F61" s="82">
        <v>0</v>
      </c>
      <c r="G61" s="82">
        <v>270</v>
      </c>
      <c r="H61" s="91">
        <f t="shared" si="6"/>
        <v>-4.0481481481481509</v>
      </c>
      <c r="I61" s="85"/>
      <c r="J61" s="85" t="s">
        <v>102</v>
      </c>
      <c r="K61" s="86">
        <f t="shared" si="7"/>
        <v>9888.4355425174672</v>
      </c>
      <c r="L61" s="87" t="str">
        <f t="shared" si="8"/>
        <v/>
      </c>
      <c r="M61" s="88">
        <v>11.05</v>
      </c>
      <c r="N61" s="88">
        <v>17.899999999999999</v>
      </c>
      <c r="O61" s="88">
        <v>18.16</v>
      </c>
      <c r="P61" s="88">
        <v>16.29</v>
      </c>
      <c r="Q61" s="88">
        <v>17.16</v>
      </c>
      <c r="R61" s="88">
        <v>11.18</v>
      </c>
      <c r="S61" s="88">
        <v>16.29</v>
      </c>
      <c r="T61" s="88">
        <v>21.44</v>
      </c>
      <c r="U61" s="28">
        <f t="shared" si="9"/>
        <v>129.47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296410</v>
      </c>
      <c r="C62" s="28">
        <v>0</v>
      </c>
      <c r="D62" s="81">
        <v>32239.88</v>
      </c>
      <c r="E62" s="82">
        <v>259.27</v>
      </c>
      <c r="F62" s="82">
        <v>0</v>
      </c>
      <c r="G62" s="82">
        <v>270</v>
      </c>
      <c r="H62" s="91">
        <f t="shared" si="6"/>
        <v>-3.974074074074081</v>
      </c>
      <c r="I62" s="85"/>
      <c r="J62" s="85" t="s">
        <v>102</v>
      </c>
      <c r="K62" s="86">
        <f t="shared" si="7"/>
        <v>9890.7288926601632</v>
      </c>
      <c r="L62" s="87" t="str">
        <f t="shared" si="8"/>
        <v/>
      </c>
      <c r="M62" s="88">
        <v>11.04</v>
      </c>
      <c r="N62" s="88">
        <v>17.89</v>
      </c>
      <c r="O62" s="88">
        <v>18.11</v>
      </c>
      <c r="P62" s="88">
        <v>16.3</v>
      </c>
      <c r="Q62" s="88">
        <v>17.23</v>
      </c>
      <c r="R62" s="88">
        <v>11.28</v>
      </c>
      <c r="S62" s="88">
        <v>16.329999999999998</v>
      </c>
      <c r="T62" s="88">
        <v>21.42</v>
      </c>
      <c r="U62" s="28">
        <f t="shared" si="9"/>
        <v>129.60000000000002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296560</v>
      </c>
      <c r="C63" s="28">
        <v>0</v>
      </c>
      <c r="D63" s="81">
        <v>32524.71</v>
      </c>
      <c r="E63" s="82">
        <v>258.79000000000002</v>
      </c>
      <c r="F63" s="82">
        <v>0</v>
      </c>
      <c r="G63" s="82">
        <v>270</v>
      </c>
      <c r="H63" s="91">
        <f t="shared" si="6"/>
        <v>-4.1518518518518439</v>
      </c>
      <c r="I63" s="85"/>
      <c r="J63" s="85" t="s">
        <v>102</v>
      </c>
      <c r="K63" s="86">
        <f t="shared" si="7"/>
        <v>9913.6616097994502</v>
      </c>
      <c r="L63" s="87" t="str">
        <f t="shared" si="8"/>
        <v/>
      </c>
      <c r="M63" s="88">
        <v>11</v>
      </c>
      <c r="N63" s="88">
        <v>17.920000000000002</v>
      </c>
      <c r="O63" s="88">
        <v>18.13</v>
      </c>
      <c r="P63" s="88">
        <v>16.5</v>
      </c>
      <c r="Q63" s="88">
        <v>17.190000000000001</v>
      </c>
      <c r="R63" s="88">
        <v>11.22</v>
      </c>
      <c r="S63" s="88">
        <v>16.3</v>
      </c>
      <c r="T63" s="88">
        <v>21.4</v>
      </c>
      <c r="U63" s="28">
        <f t="shared" si="9"/>
        <v>129.66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296680</v>
      </c>
      <c r="C64" s="28">
        <v>0</v>
      </c>
      <c r="D64" s="81">
        <v>31528.62</v>
      </c>
      <c r="E64" s="82">
        <v>259.23</v>
      </c>
      <c r="F64" s="82">
        <v>0</v>
      </c>
      <c r="G64" s="82">
        <v>270</v>
      </c>
      <c r="H64" s="91">
        <f t="shared" si="6"/>
        <v>-3.9888888888888823</v>
      </c>
      <c r="I64" s="85"/>
      <c r="J64" s="85" t="s">
        <v>102</v>
      </c>
      <c r="K64" s="86">
        <f t="shared" si="7"/>
        <v>9867.0664506422854</v>
      </c>
      <c r="L64" s="87" t="str">
        <f t="shared" si="8"/>
        <v/>
      </c>
      <c r="M64" s="88">
        <v>11</v>
      </c>
      <c r="N64" s="88">
        <v>17.899999999999999</v>
      </c>
      <c r="O64" s="88">
        <v>18.05</v>
      </c>
      <c r="P64" s="88">
        <v>16.52</v>
      </c>
      <c r="Q64" s="88">
        <v>17.11</v>
      </c>
      <c r="R64" s="88">
        <v>11.24</v>
      </c>
      <c r="S64" s="88">
        <v>16.190000000000001</v>
      </c>
      <c r="T64" s="88">
        <v>21.26</v>
      </c>
      <c r="U64" s="28">
        <f t="shared" si="9"/>
        <v>129.26999999999998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296330</v>
      </c>
      <c r="C65" s="28">
        <v>0</v>
      </c>
      <c r="D65" s="81">
        <v>29587.73</v>
      </c>
      <c r="E65" s="82">
        <v>258.93</v>
      </c>
      <c r="F65" s="82">
        <v>0</v>
      </c>
      <c r="G65" s="82">
        <v>270</v>
      </c>
      <c r="H65" s="91">
        <f t="shared" si="6"/>
        <v>-4.0999999999999979</v>
      </c>
      <c r="I65" s="85"/>
      <c r="J65" s="85" t="s">
        <v>102</v>
      </c>
      <c r="K65" s="86">
        <f t="shared" si="7"/>
        <v>9855.57330552659</v>
      </c>
      <c r="L65" s="87" t="str">
        <f t="shared" si="8"/>
        <v/>
      </c>
      <c r="M65" s="88">
        <v>10.99</v>
      </c>
      <c r="N65" s="88">
        <v>17.829999999999998</v>
      </c>
      <c r="O65" s="88">
        <v>18.05</v>
      </c>
      <c r="P65" s="88">
        <v>16.32</v>
      </c>
      <c r="Q65" s="88">
        <v>17.14</v>
      </c>
      <c r="R65" s="88">
        <v>11.1</v>
      </c>
      <c r="S65" s="88">
        <v>16.170000000000002</v>
      </c>
      <c r="T65" s="88">
        <v>21.37</v>
      </c>
      <c r="U65" s="28">
        <f t="shared" si="9"/>
        <v>128.97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296110</v>
      </c>
      <c r="C66" s="28">
        <v>0</v>
      </c>
      <c r="D66" s="81">
        <v>31143.34</v>
      </c>
      <c r="E66" s="82">
        <v>258.89999999999998</v>
      </c>
      <c r="F66" s="82">
        <v>0</v>
      </c>
      <c r="G66" s="82">
        <v>270</v>
      </c>
      <c r="H66" s="91">
        <f t="shared" si="6"/>
        <v>-4.1111111111111196</v>
      </c>
      <c r="I66" s="85"/>
      <c r="J66" s="85" t="s">
        <v>102</v>
      </c>
      <c r="K66" s="86">
        <f t="shared" si="7"/>
        <v>9809.3309385863286</v>
      </c>
      <c r="L66" s="87" t="str">
        <f t="shared" si="8"/>
        <v/>
      </c>
      <c r="M66" s="88">
        <v>10.89</v>
      </c>
      <c r="N66" s="88">
        <v>17.78</v>
      </c>
      <c r="O66" s="88">
        <v>17.88</v>
      </c>
      <c r="P66" s="88">
        <v>16.27</v>
      </c>
      <c r="Q66" s="88">
        <v>17.04</v>
      </c>
      <c r="R66" s="88">
        <v>11.27</v>
      </c>
      <c r="S66" s="88">
        <v>16.09</v>
      </c>
      <c r="T66" s="88">
        <v>21.13</v>
      </c>
      <c r="U66" s="28">
        <f t="shared" si="9"/>
        <v>128.35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294870</v>
      </c>
      <c r="C67" s="28">
        <v>0</v>
      </c>
      <c r="D67" s="81">
        <v>31517.279999999999</v>
      </c>
      <c r="E67" s="82">
        <v>257.83999999999997</v>
      </c>
      <c r="F67" s="82">
        <v>0</v>
      </c>
      <c r="G67" s="82">
        <v>270</v>
      </c>
      <c r="H67" s="91">
        <f t="shared" si="6"/>
        <v>-4.5037037037037129</v>
      </c>
      <c r="I67" s="85"/>
      <c r="J67" s="85" t="s">
        <v>102</v>
      </c>
      <c r="K67" s="86">
        <f t="shared" si="7"/>
        <v>9815.1245733788401</v>
      </c>
      <c r="L67" s="87" t="str">
        <f t="shared" si="8"/>
        <v/>
      </c>
      <c r="M67" s="88">
        <v>10.85</v>
      </c>
      <c r="N67" s="88">
        <v>17.68</v>
      </c>
      <c r="O67" s="88">
        <v>17.87</v>
      </c>
      <c r="P67" s="88">
        <v>16.29</v>
      </c>
      <c r="Q67" s="88">
        <v>16.899999999999999</v>
      </c>
      <c r="R67" s="88">
        <v>11.2</v>
      </c>
      <c r="S67" s="88">
        <v>15.97</v>
      </c>
      <c r="T67" s="88">
        <v>21.14</v>
      </c>
      <c r="U67" s="28">
        <f t="shared" si="9"/>
        <v>127.9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270590</v>
      </c>
      <c r="C68" s="28">
        <v>0</v>
      </c>
      <c r="D68" s="81">
        <v>28857</v>
      </c>
      <c r="E68" s="82">
        <v>237.33</v>
      </c>
      <c r="F68" s="82">
        <v>0</v>
      </c>
      <c r="G68" s="82">
        <v>270</v>
      </c>
      <c r="H68" s="91">
        <f t="shared" si="6"/>
        <v>-12.099999999999994</v>
      </c>
      <c r="I68" s="85"/>
      <c r="J68" s="85" t="s">
        <v>102</v>
      </c>
      <c r="K68" s="86">
        <f t="shared" si="7"/>
        <v>9874.6411831626847</v>
      </c>
      <c r="L68" s="87">
        <f t="shared" si="8"/>
        <v>-32.669999999999987</v>
      </c>
      <c r="M68" s="88">
        <v>9.74</v>
      </c>
      <c r="N68" s="88">
        <v>16.510000000000002</v>
      </c>
      <c r="O68" s="88">
        <v>16.71</v>
      </c>
      <c r="P68" s="92">
        <v>15.02</v>
      </c>
      <c r="Q68" s="88">
        <v>15.26</v>
      </c>
      <c r="R68" s="88">
        <v>11.23</v>
      </c>
      <c r="S68" s="88">
        <v>14.45</v>
      </c>
      <c r="T68" s="88">
        <v>19.52</v>
      </c>
      <c r="U68" s="28">
        <f t="shared" si="9"/>
        <v>118.44000000000001</v>
      </c>
      <c r="V68" s="81">
        <v>5.8833333333333329</v>
      </c>
      <c r="W68" s="81">
        <v>0</v>
      </c>
      <c r="X68" s="89"/>
      <c r="Y68"/>
    </row>
    <row r="69" spans="1:25" ht="16.5" x14ac:dyDescent="0.3">
      <c r="A69" s="90">
        <v>12</v>
      </c>
      <c r="B69" s="28">
        <v>267010</v>
      </c>
      <c r="C69" s="28">
        <v>0</v>
      </c>
      <c r="D69" s="81">
        <v>34448.089999999997</v>
      </c>
      <c r="E69" s="82">
        <v>232.5</v>
      </c>
      <c r="F69" s="82">
        <v>0</v>
      </c>
      <c r="G69" s="82">
        <v>270</v>
      </c>
      <c r="H69" s="91">
        <f t="shared" si="6"/>
        <v>-13.888888888888889</v>
      </c>
      <c r="I69" s="85"/>
      <c r="J69" s="85" t="s">
        <v>102</v>
      </c>
      <c r="K69" s="86">
        <f t="shared" si="7"/>
        <v>10059.353806451612</v>
      </c>
      <c r="L69" s="87">
        <f t="shared" si="8"/>
        <v>-37.5</v>
      </c>
      <c r="M69" s="88">
        <v>9.7100000000000009</v>
      </c>
      <c r="N69" s="88">
        <v>16.48</v>
      </c>
      <c r="O69" s="88">
        <v>16.72</v>
      </c>
      <c r="P69" s="92">
        <v>15.04</v>
      </c>
      <c r="Q69" s="88">
        <v>15.18</v>
      </c>
      <c r="R69" s="88">
        <v>11.23</v>
      </c>
      <c r="S69" s="88">
        <v>14.38</v>
      </c>
      <c r="T69" s="88">
        <v>19.46</v>
      </c>
      <c r="U69" s="28">
        <f t="shared" si="9"/>
        <v>118.19999999999999</v>
      </c>
      <c r="V69" s="81">
        <v>5.8833333333333329</v>
      </c>
      <c r="W69" s="81">
        <v>0</v>
      </c>
      <c r="X69" s="89"/>
      <c r="Y69"/>
    </row>
    <row r="70" spans="1:25" ht="16.5" x14ac:dyDescent="0.3">
      <c r="A70" s="90">
        <v>13</v>
      </c>
      <c r="B70" s="28">
        <v>266920</v>
      </c>
      <c r="C70" s="28">
        <v>0</v>
      </c>
      <c r="D70" s="81">
        <v>35466.400000000001</v>
      </c>
      <c r="E70" s="82">
        <v>232.15</v>
      </c>
      <c r="F70" s="82">
        <v>0</v>
      </c>
      <c r="G70" s="82">
        <v>270</v>
      </c>
      <c r="H70" s="91">
        <f t="shared" si="6"/>
        <v>-14.018518518518517</v>
      </c>
      <c r="I70" s="85"/>
      <c r="J70" s="85" t="s">
        <v>102</v>
      </c>
      <c r="K70" s="86">
        <f t="shared" si="7"/>
        <v>10038.721964247257</v>
      </c>
      <c r="L70" s="87">
        <f t="shared" si="8"/>
        <v>-37.849999999999994</v>
      </c>
      <c r="M70" s="88">
        <v>9.64</v>
      </c>
      <c r="N70" s="88">
        <v>16.440000000000001</v>
      </c>
      <c r="O70" s="88">
        <v>16.690000000000001</v>
      </c>
      <c r="P70" s="92">
        <v>15.03</v>
      </c>
      <c r="Q70" s="88">
        <v>15.05</v>
      </c>
      <c r="R70" s="88">
        <v>11.18</v>
      </c>
      <c r="S70" s="88">
        <v>14.33</v>
      </c>
      <c r="T70" s="88">
        <v>19.420000000000002</v>
      </c>
      <c r="U70" s="28">
        <f t="shared" si="9"/>
        <v>117.78</v>
      </c>
      <c r="V70" s="81">
        <v>5.8833333333333329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266920</v>
      </c>
      <c r="C71" s="28">
        <v>0</v>
      </c>
      <c r="D71" s="81">
        <v>31882.23</v>
      </c>
      <c r="E71" s="82">
        <v>232.44</v>
      </c>
      <c r="F71" s="82">
        <v>0</v>
      </c>
      <c r="G71" s="82">
        <v>270</v>
      </c>
      <c r="H71" s="91">
        <f t="shared" si="6"/>
        <v>-13.911111111111111</v>
      </c>
      <c r="I71" s="85"/>
      <c r="J71" s="85" t="s">
        <v>102</v>
      </c>
      <c r="K71" s="86">
        <f t="shared" si="7"/>
        <v>10027.048580278784</v>
      </c>
      <c r="L71" s="87">
        <f t="shared" si="8"/>
        <v>-37.56</v>
      </c>
      <c r="M71" s="88">
        <v>9.64</v>
      </c>
      <c r="N71" s="88">
        <v>16.43</v>
      </c>
      <c r="O71" s="88">
        <v>16.71</v>
      </c>
      <c r="P71" s="92">
        <v>14.98</v>
      </c>
      <c r="Q71" s="88">
        <v>15.06</v>
      </c>
      <c r="R71" s="88">
        <v>11.26</v>
      </c>
      <c r="S71" s="88">
        <v>14.32</v>
      </c>
      <c r="T71" s="88">
        <v>19.39</v>
      </c>
      <c r="U71" s="28">
        <f t="shared" si="9"/>
        <v>117.79</v>
      </c>
      <c r="V71" s="81">
        <v>5.8833333333333329</v>
      </c>
      <c r="W71" s="81">
        <v>0</v>
      </c>
      <c r="X71" s="89"/>
      <c r="Y71"/>
    </row>
    <row r="72" spans="1:25" ht="16.5" x14ac:dyDescent="0.3">
      <c r="A72" s="90">
        <v>15</v>
      </c>
      <c r="B72" s="28">
        <v>266840</v>
      </c>
      <c r="C72" s="28">
        <v>0</v>
      </c>
      <c r="D72" s="81">
        <v>25238.69</v>
      </c>
      <c r="E72" s="82">
        <v>232.53</v>
      </c>
      <c r="F72" s="82">
        <v>0</v>
      </c>
      <c r="G72" s="82">
        <v>270</v>
      </c>
      <c r="H72" s="91">
        <f t="shared" si="6"/>
        <v>-13.877777777777778</v>
      </c>
      <c r="I72" s="85"/>
      <c r="J72" s="85" t="s">
        <v>102</v>
      </c>
      <c r="K72" s="86">
        <f t="shared" si="7"/>
        <v>10025.720448974329</v>
      </c>
      <c r="L72" s="87">
        <f t="shared" si="8"/>
        <v>-37.47</v>
      </c>
      <c r="M72" s="88">
        <v>9.7100000000000009</v>
      </c>
      <c r="N72" s="88">
        <v>16.41</v>
      </c>
      <c r="O72" s="88">
        <v>16.73</v>
      </c>
      <c r="P72" s="92">
        <v>14.8</v>
      </c>
      <c r="Q72" s="88">
        <v>15.17</v>
      </c>
      <c r="R72" s="88">
        <v>11.21</v>
      </c>
      <c r="S72" s="88">
        <v>14.25</v>
      </c>
      <c r="T72" s="88">
        <v>19.54</v>
      </c>
      <c r="U72" s="28">
        <f t="shared" si="9"/>
        <v>117.82</v>
      </c>
      <c r="V72" s="81">
        <v>5.8833333333333329</v>
      </c>
      <c r="W72" s="81">
        <v>0</v>
      </c>
      <c r="X72" s="89"/>
      <c r="Y72"/>
    </row>
    <row r="73" spans="1:25" ht="16.5" x14ac:dyDescent="0.3">
      <c r="A73" s="90">
        <v>16</v>
      </c>
      <c r="B73" s="28">
        <v>269940</v>
      </c>
      <c r="C73" s="28">
        <v>0</v>
      </c>
      <c r="D73" s="81">
        <v>26815.9</v>
      </c>
      <c r="E73" s="82">
        <v>234.6</v>
      </c>
      <c r="F73" s="82">
        <v>0</v>
      </c>
      <c r="G73" s="82">
        <v>270</v>
      </c>
      <c r="H73" s="91">
        <f t="shared" si="6"/>
        <v>-13.111111111111112</v>
      </c>
      <c r="I73" s="85"/>
      <c r="J73" s="85" t="s">
        <v>102</v>
      </c>
      <c r="K73" s="86">
        <f t="shared" si="7"/>
        <v>10058.711713554987</v>
      </c>
      <c r="L73" s="87">
        <f t="shared" si="8"/>
        <v>-35.400000000000006</v>
      </c>
      <c r="M73" s="88">
        <v>9.82</v>
      </c>
      <c r="N73" s="88">
        <v>16.62</v>
      </c>
      <c r="O73" s="88">
        <v>16.89</v>
      </c>
      <c r="P73" s="88">
        <v>15.14</v>
      </c>
      <c r="Q73" s="88">
        <v>15.39</v>
      </c>
      <c r="R73" s="88">
        <v>11.24</v>
      </c>
      <c r="S73" s="88">
        <v>14.52</v>
      </c>
      <c r="T73" s="88">
        <v>19.64</v>
      </c>
      <c r="U73" s="28">
        <f t="shared" si="9"/>
        <v>119.25999999999999</v>
      </c>
      <c r="V73" s="81">
        <v>5.8833333333333329</v>
      </c>
      <c r="W73" s="81">
        <v>0</v>
      </c>
      <c r="X73" s="89"/>
      <c r="Y73"/>
    </row>
    <row r="74" spans="1:25" ht="16.5" x14ac:dyDescent="0.3">
      <c r="A74" s="90">
        <v>17</v>
      </c>
      <c r="B74" s="28">
        <v>291840</v>
      </c>
      <c r="C74" s="28">
        <v>0</v>
      </c>
      <c r="D74" s="81">
        <v>35807.599999999999</v>
      </c>
      <c r="E74" s="82">
        <v>253.16</v>
      </c>
      <c r="F74" s="82">
        <v>0</v>
      </c>
      <c r="G74" s="82">
        <v>270</v>
      </c>
      <c r="H74" s="91">
        <f t="shared" si="6"/>
        <v>-6.2370370370370392</v>
      </c>
      <c r="I74" s="85"/>
      <c r="J74" s="85" t="s">
        <v>102</v>
      </c>
      <c r="K74" s="86">
        <f t="shared" si="7"/>
        <v>10075.511091799652</v>
      </c>
      <c r="L74" s="87">
        <f t="shared" si="8"/>
        <v>-16.840000000000003</v>
      </c>
      <c r="M74" s="88">
        <v>10.95</v>
      </c>
      <c r="N74" s="88">
        <v>17.82</v>
      </c>
      <c r="O74" s="88">
        <v>18.11</v>
      </c>
      <c r="P74" s="88">
        <v>16.329999999999998</v>
      </c>
      <c r="Q74" s="88">
        <v>17.12</v>
      </c>
      <c r="R74" s="88">
        <v>11.23</v>
      </c>
      <c r="S74" s="88">
        <v>16.14</v>
      </c>
      <c r="T74" s="88">
        <v>21.21</v>
      </c>
      <c r="U74" s="28">
        <f t="shared" si="9"/>
        <v>128.91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295810</v>
      </c>
      <c r="C75" s="28">
        <v>0</v>
      </c>
      <c r="D75" s="81">
        <v>32331.919999999998</v>
      </c>
      <c r="E75" s="82">
        <v>258.14</v>
      </c>
      <c r="F75" s="82">
        <v>0</v>
      </c>
      <c r="G75" s="82">
        <v>270</v>
      </c>
      <c r="H75" s="91">
        <f t="shared" si="6"/>
        <v>-4.3925925925925977</v>
      </c>
      <c r="I75" s="85"/>
      <c r="J75" s="85"/>
      <c r="K75" s="86">
        <f t="shared" si="7"/>
        <v>9901.0651429456884</v>
      </c>
      <c r="L75" s="87" t="str">
        <f t="shared" si="8"/>
        <v/>
      </c>
      <c r="M75" s="88">
        <v>10.98</v>
      </c>
      <c r="N75" s="88">
        <v>17.88</v>
      </c>
      <c r="O75" s="88">
        <v>18.05</v>
      </c>
      <c r="P75" s="88">
        <v>16.309999999999999</v>
      </c>
      <c r="Q75" s="88">
        <v>17.16</v>
      </c>
      <c r="R75" s="88">
        <v>11.24</v>
      </c>
      <c r="S75" s="88">
        <v>16.23</v>
      </c>
      <c r="T75" s="88">
        <v>21.32</v>
      </c>
      <c r="U75" s="28">
        <f t="shared" si="9"/>
        <v>129.16999999999999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295820</v>
      </c>
      <c r="C76" s="28">
        <v>0</v>
      </c>
      <c r="D76" s="81">
        <v>28572.82</v>
      </c>
      <c r="E76" s="82">
        <v>258.66000000000003</v>
      </c>
      <c r="F76" s="82">
        <v>0</v>
      </c>
      <c r="G76" s="82">
        <v>270</v>
      </c>
      <c r="H76" s="91">
        <f t="shared" si="6"/>
        <v>-4.1999999999999904</v>
      </c>
      <c r="I76" s="85"/>
      <c r="J76" s="85"/>
      <c r="K76" s="86">
        <f t="shared" si="7"/>
        <v>9897.9898399443264</v>
      </c>
      <c r="L76" s="87" t="str">
        <f t="shared" si="8"/>
        <v/>
      </c>
      <c r="M76" s="88">
        <v>11.02</v>
      </c>
      <c r="N76" s="88">
        <v>17.88</v>
      </c>
      <c r="O76" s="88">
        <v>18.059999999999999</v>
      </c>
      <c r="P76" s="88">
        <v>16.39</v>
      </c>
      <c r="Q76" s="88">
        <v>17.16</v>
      </c>
      <c r="R76" s="88">
        <v>11.28</v>
      </c>
      <c r="S76" s="88">
        <v>16.2</v>
      </c>
      <c r="T76" s="88">
        <v>21.4</v>
      </c>
      <c r="U76" s="28">
        <f t="shared" si="9"/>
        <v>129.38999999999999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295980</v>
      </c>
      <c r="C77" s="28">
        <v>0</v>
      </c>
      <c r="D77" s="81">
        <v>30969.73</v>
      </c>
      <c r="E77" s="82">
        <v>258.36</v>
      </c>
      <c r="F77" s="82">
        <v>0</v>
      </c>
      <c r="G77" s="82">
        <v>270</v>
      </c>
      <c r="H77" s="91">
        <f t="shared" si="6"/>
        <v>-4.3111111111111065</v>
      </c>
      <c r="I77" s="85"/>
      <c r="J77" s="85" t="s">
        <v>102</v>
      </c>
      <c r="K77" s="86">
        <f t="shared" si="7"/>
        <v>9907.1855085926636</v>
      </c>
      <c r="L77" s="87" t="str">
        <f t="shared" si="8"/>
        <v/>
      </c>
      <c r="M77" s="88">
        <v>11.04</v>
      </c>
      <c r="N77" s="88">
        <v>17.899999999999999</v>
      </c>
      <c r="O77" s="88">
        <v>18.09</v>
      </c>
      <c r="P77" s="88">
        <v>16.43</v>
      </c>
      <c r="Q77" s="88">
        <v>17.16</v>
      </c>
      <c r="R77" s="88">
        <v>11.24</v>
      </c>
      <c r="S77" s="88">
        <v>16.22</v>
      </c>
      <c r="T77" s="88">
        <v>21.28</v>
      </c>
      <c r="U77" s="28">
        <f t="shared" si="9"/>
        <v>129.36000000000001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295900</v>
      </c>
      <c r="C78" s="28">
        <v>0</v>
      </c>
      <c r="D78" s="81">
        <v>32508.16</v>
      </c>
      <c r="E78" s="82">
        <v>258.79000000000002</v>
      </c>
      <c r="F78" s="82">
        <v>0</v>
      </c>
      <c r="G78" s="82">
        <v>270</v>
      </c>
      <c r="H78" s="91">
        <f t="shared" si="6"/>
        <v>-4.1518518518518439</v>
      </c>
      <c r="I78" s="85"/>
      <c r="J78" s="85" t="s">
        <v>102</v>
      </c>
      <c r="K78" s="86">
        <f t="shared" si="7"/>
        <v>9904.4865412110194</v>
      </c>
      <c r="L78" s="87" t="str">
        <f t="shared" si="8"/>
        <v/>
      </c>
      <c r="M78" s="88">
        <v>11.03</v>
      </c>
      <c r="N78" s="88">
        <v>17.940000000000001</v>
      </c>
      <c r="O78" s="88">
        <v>18.11</v>
      </c>
      <c r="P78" s="88">
        <v>16.38</v>
      </c>
      <c r="Q78" s="88">
        <v>17.23</v>
      </c>
      <c r="R78" s="88">
        <v>11.24</v>
      </c>
      <c r="S78" s="88">
        <v>16.27</v>
      </c>
      <c r="T78" s="88">
        <v>21.34</v>
      </c>
      <c r="U78" s="28">
        <f t="shared" si="9"/>
        <v>129.54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295930</v>
      </c>
      <c r="C79" s="28">
        <v>0</v>
      </c>
      <c r="D79" s="81">
        <v>32172.81</v>
      </c>
      <c r="E79" s="82">
        <v>258.5</v>
      </c>
      <c r="F79" s="82">
        <v>0</v>
      </c>
      <c r="G79" s="82">
        <v>270</v>
      </c>
      <c r="H79" s="91">
        <f t="shared" si="6"/>
        <v>-4.2592592592592595</v>
      </c>
      <c r="I79" s="85"/>
      <c r="J79" s="85" t="s">
        <v>102</v>
      </c>
      <c r="K79" s="86">
        <f t="shared" si="7"/>
        <v>9885.7455319148939</v>
      </c>
      <c r="L79" s="87" t="str">
        <f t="shared" si="8"/>
        <v/>
      </c>
      <c r="M79" s="88">
        <v>11</v>
      </c>
      <c r="N79" s="88">
        <v>17.809999999999999</v>
      </c>
      <c r="O79" s="88">
        <v>18.010000000000002</v>
      </c>
      <c r="P79" s="88">
        <v>16.41</v>
      </c>
      <c r="Q79" s="88">
        <v>17.11</v>
      </c>
      <c r="R79" s="88">
        <v>11.27</v>
      </c>
      <c r="S79" s="88">
        <v>16.170000000000002</v>
      </c>
      <c r="T79" s="88">
        <v>21.37</v>
      </c>
      <c r="U79" s="28">
        <f t="shared" si="9"/>
        <v>129.15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295920</v>
      </c>
      <c r="C80" s="28">
        <v>0</v>
      </c>
      <c r="D80" s="81">
        <v>32444.76</v>
      </c>
      <c r="E80" s="82">
        <v>258.33</v>
      </c>
      <c r="F80" s="82">
        <v>0</v>
      </c>
      <c r="G80" s="82">
        <v>270</v>
      </c>
      <c r="H80" s="91">
        <f t="shared" si="6"/>
        <v>-4.3222222222222282</v>
      </c>
      <c r="I80" s="85"/>
      <c r="J80" s="85" t="s">
        <v>102</v>
      </c>
      <c r="K80" s="86">
        <f t="shared" si="7"/>
        <v>9899.9105794913485</v>
      </c>
      <c r="L80" s="87" t="str">
        <f t="shared" si="8"/>
        <v/>
      </c>
      <c r="M80" s="88">
        <v>11.02</v>
      </c>
      <c r="N80" s="88">
        <v>17.920000000000002</v>
      </c>
      <c r="O80" s="88">
        <v>18.079999999999998</v>
      </c>
      <c r="P80" s="88">
        <v>16.350000000000001</v>
      </c>
      <c r="Q80" s="88">
        <v>17.09</v>
      </c>
      <c r="R80" s="88">
        <v>11.24</v>
      </c>
      <c r="S80" s="88">
        <v>16.21</v>
      </c>
      <c r="T80" s="88">
        <v>21.34</v>
      </c>
      <c r="U80" s="28">
        <f t="shared" si="9"/>
        <v>129.25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295950</v>
      </c>
      <c r="C81" s="28">
        <v>0</v>
      </c>
      <c r="D81" s="28">
        <v>31741.919999999998</v>
      </c>
      <c r="E81" s="96">
        <v>259.27</v>
      </c>
      <c r="F81" s="97">
        <v>0</v>
      </c>
      <c r="G81" s="82">
        <v>270</v>
      </c>
      <c r="H81" s="98">
        <f t="shared" si="6"/>
        <v>-3.974074074074081</v>
      </c>
      <c r="I81" s="115"/>
      <c r="J81" s="85" t="s">
        <v>102</v>
      </c>
      <c r="K81" s="99">
        <f t="shared" si="7"/>
        <v>9857.9124310564293</v>
      </c>
      <c r="L81" s="87" t="str">
        <f t="shared" si="8"/>
        <v/>
      </c>
      <c r="M81" s="92">
        <v>10.99</v>
      </c>
      <c r="N81" s="92">
        <v>17.88</v>
      </c>
      <c r="O81" s="92">
        <v>18.07</v>
      </c>
      <c r="P81" s="92">
        <v>16.440000000000001</v>
      </c>
      <c r="Q81" s="92">
        <v>17.16</v>
      </c>
      <c r="R81" s="92">
        <v>11.2</v>
      </c>
      <c r="S81" s="92">
        <v>16.149999999999999</v>
      </c>
      <c r="T81" s="92">
        <v>21.28</v>
      </c>
      <c r="U81" s="28">
        <f t="shared" si="9"/>
        <v>129.16999999999999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0">SUM(B58:B81)</f>
        <v>6931250</v>
      </c>
      <c r="C82" s="35">
        <f t="shared" si="10"/>
        <v>0</v>
      </c>
      <c r="D82" s="35">
        <f t="shared" si="10"/>
        <v>750547.89000000013</v>
      </c>
      <c r="E82" s="35">
        <f t="shared" si="10"/>
        <v>6051.6100000000006</v>
      </c>
      <c r="F82" s="101">
        <f t="shared" si="10"/>
        <v>0</v>
      </c>
      <c r="G82" s="35">
        <f t="shared" si="10"/>
        <v>6480</v>
      </c>
      <c r="H82" s="102"/>
      <c r="I82" s="103"/>
      <c r="J82" s="104"/>
      <c r="K82" s="105">
        <f>IFERROR(AVERAGE(K58:K81),"")</f>
        <v>9922.3205931323755</v>
      </c>
      <c r="L82" s="40">
        <f t="shared" ref="L82:U82" si="11">SUM(L58:L81)</f>
        <v>-235.29</v>
      </c>
      <c r="M82" s="40">
        <f t="shared" si="11"/>
        <v>256.04999999999995</v>
      </c>
      <c r="N82" s="39">
        <f t="shared" si="11"/>
        <v>420.36</v>
      </c>
      <c r="O82" s="39">
        <f t="shared" si="11"/>
        <v>425.44</v>
      </c>
      <c r="P82" s="39">
        <f t="shared" si="11"/>
        <v>384.69</v>
      </c>
      <c r="Q82" s="39">
        <f t="shared" si="11"/>
        <v>399.5100000000001</v>
      </c>
      <c r="R82" s="39">
        <f t="shared" si="11"/>
        <v>269.45000000000005</v>
      </c>
      <c r="S82" s="39">
        <f t="shared" si="11"/>
        <v>377.76</v>
      </c>
      <c r="T82" s="39">
        <f t="shared" si="11"/>
        <v>500.61999999999989</v>
      </c>
      <c r="U82" s="118">
        <f t="shared" si="11"/>
        <v>3033.88</v>
      </c>
      <c r="V82" s="39">
        <f>+SUM(V58:V81)</f>
        <v>35.299999999999997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0</v>
      </c>
      <c r="J87" s="41"/>
      <c r="K87" s="62" t="s">
        <v>59</v>
      </c>
      <c r="L87" s="113">
        <v>35533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1</v>
      </c>
      <c r="B88" s="57">
        <v>0</v>
      </c>
      <c r="C88" s="57">
        <v>0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33299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>
        <f>IFERROR(3412.14/K82,"")</f>
        <v>0.34388528046167699</v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A1:C1"/>
    <mergeCell ref="D1:U2"/>
    <mergeCell ref="V1:X4"/>
    <mergeCell ref="A2:C2"/>
    <mergeCell ref="A3:C3"/>
    <mergeCell ref="D3:U4"/>
    <mergeCell ref="A4:C4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39:A40"/>
    <mergeCell ref="B39:B40"/>
    <mergeCell ref="C39:C40"/>
    <mergeCell ref="D39:D40"/>
    <mergeCell ref="H39:I40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H41:H42"/>
    <mergeCell ref="I41:I42"/>
    <mergeCell ref="K44:L44"/>
    <mergeCell ref="C45:I46"/>
    <mergeCell ref="K45:L45"/>
    <mergeCell ref="K46:L4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A85:A86"/>
    <mergeCell ref="B85:B86"/>
    <mergeCell ref="C85:C86"/>
    <mergeCell ref="D85:D86"/>
    <mergeCell ref="H85:I86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K90:L90"/>
    <mergeCell ref="B91:B92"/>
    <mergeCell ref="C91:I92"/>
    <mergeCell ref="K91:L91"/>
    <mergeCell ref="K92:L92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43A6-6C2B-435A-A40E-5EF22C42E25B}">
  <dimension ref="A1:Z109"/>
  <sheetViews>
    <sheetView zoomScale="85" zoomScaleNormal="85" workbookViewId="0">
      <selection activeCell="C89" sqref="C89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29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82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0</v>
      </c>
      <c r="C12" s="28">
        <v>1309.3</v>
      </c>
      <c r="D12" s="28">
        <v>0</v>
      </c>
      <c r="E12" s="28">
        <v>0</v>
      </c>
      <c r="F12" s="28">
        <v>0</v>
      </c>
      <c r="G12" s="28">
        <f>+E12+F12</f>
        <v>0</v>
      </c>
      <c r="H12" s="28">
        <v>733.02950999999996</v>
      </c>
      <c r="I12" s="28">
        <v>733.96</v>
      </c>
      <c r="J12" s="112">
        <v>0</v>
      </c>
      <c r="K12" s="28">
        <f t="shared" ref="K12:K35" si="0">IF(J12=0,0,100*(G12-J12)/J12)</f>
        <v>0</v>
      </c>
      <c r="L12" s="28"/>
      <c r="M12" s="28"/>
      <c r="N12" s="28" t="str">
        <f t="shared" ref="N12:N35" si="1">IFERROR(V12*1000*2.2*$K$46/G12/1000,"")</f>
        <v/>
      </c>
      <c r="O12" s="28" t="str">
        <f t="shared" ref="O12:O35" si="2">IF(OR(K12&gt;5,K12&lt;-5),G12-J12,"")</f>
        <v/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f>+SUM(P12:U12)</f>
        <v>0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0</v>
      </c>
      <c r="C13" s="28">
        <v>1306</v>
      </c>
      <c r="D13" s="28">
        <v>0</v>
      </c>
      <c r="E13" s="28">
        <v>0</v>
      </c>
      <c r="F13" s="28">
        <v>0</v>
      </c>
      <c r="G13" s="28">
        <f t="shared" ref="G13:G34" si="3">+E13+F13</f>
        <v>0</v>
      </c>
      <c r="H13" s="28">
        <v>731.46237199999996</v>
      </c>
      <c r="I13" s="28">
        <v>733.07</v>
      </c>
      <c r="J13" s="112">
        <v>0</v>
      </c>
      <c r="K13" s="28">
        <f t="shared" si="0"/>
        <v>0</v>
      </c>
      <c r="L13" s="28"/>
      <c r="M13" s="28"/>
      <c r="N13" s="28" t="str">
        <f t="shared" si="1"/>
        <v/>
      </c>
      <c r="O13" s="28" t="str">
        <f t="shared" si="2"/>
        <v/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f t="shared" ref="V13:V35" si="4">+SUM(P13:U13)</f>
        <v>0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0</v>
      </c>
      <c r="C14" s="28">
        <v>1322.35</v>
      </c>
      <c r="D14" s="28">
        <v>0</v>
      </c>
      <c r="E14" s="28">
        <v>0</v>
      </c>
      <c r="F14" s="28">
        <v>0</v>
      </c>
      <c r="G14" s="28">
        <f t="shared" si="3"/>
        <v>0</v>
      </c>
      <c r="H14" s="28">
        <v>717.28474499999993</v>
      </c>
      <c r="I14" s="28">
        <v>720.58</v>
      </c>
      <c r="J14" s="112">
        <v>0</v>
      </c>
      <c r="K14" s="28">
        <f t="shared" si="0"/>
        <v>0</v>
      </c>
      <c r="L14" s="28"/>
      <c r="M14" s="28"/>
      <c r="N14" s="28" t="str">
        <f t="shared" si="1"/>
        <v/>
      </c>
      <c r="O14" s="28" t="str">
        <f t="shared" si="2"/>
        <v/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f t="shared" si="4"/>
        <v>0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0</v>
      </c>
      <c r="C15" s="28">
        <v>1307.8499999999999</v>
      </c>
      <c r="D15" s="28">
        <v>0</v>
      </c>
      <c r="E15" s="28">
        <v>0</v>
      </c>
      <c r="F15" s="28">
        <v>0</v>
      </c>
      <c r="G15" s="28">
        <f t="shared" si="3"/>
        <v>0</v>
      </c>
      <c r="H15" s="28">
        <v>727.79071099999999</v>
      </c>
      <c r="I15" s="28">
        <v>732.05</v>
      </c>
      <c r="J15" s="112">
        <v>0</v>
      </c>
      <c r="K15" s="28">
        <f t="shared" si="0"/>
        <v>0</v>
      </c>
      <c r="L15" s="28"/>
      <c r="M15" s="28"/>
      <c r="N15" s="28" t="str">
        <f t="shared" si="1"/>
        <v/>
      </c>
      <c r="O15" s="28" t="str">
        <f t="shared" si="2"/>
        <v/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f t="shared" si="4"/>
        <v>0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0</v>
      </c>
      <c r="C16" s="28">
        <v>1320.46</v>
      </c>
      <c r="D16" s="28">
        <v>0</v>
      </c>
      <c r="E16" s="28">
        <v>0</v>
      </c>
      <c r="F16" s="28">
        <v>0</v>
      </c>
      <c r="G16" s="28">
        <f t="shared" si="3"/>
        <v>0</v>
      </c>
      <c r="H16" s="28">
        <v>718.45120200000008</v>
      </c>
      <c r="I16" s="28">
        <v>723.05</v>
      </c>
      <c r="J16" s="112">
        <v>0</v>
      </c>
      <c r="K16" s="28">
        <f t="shared" si="0"/>
        <v>0</v>
      </c>
      <c r="L16" s="28"/>
      <c r="M16" s="28"/>
      <c r="N16" s="28" t="str">
        <f t="shared" si="1"/>
        <v/>
      </c>
      <c r="O16" s="28" t="str">
        <f t="shared" si="2"/>
        <v/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f t="shared" si="4"/>
        <v>0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0</v>
      </c>
      <c r="C17" s="28">
        <v>1293.75</v>
      </c>
      <c r="D17" s="28">
        <v>0</v>
      </c>
      <c r="E17" s="28">
        <v>0</v>
      </c>
      <c r="F17" s="28">
        <v>0</v>
      </c>
      <c r="G17" s="28">
        <f t="shared" si="3"/>
        <v>0</v>
      </c>
      <c r="H17" s="28">
        <v>774.66514599999994</v>
      </c>
      <c r="I17" s="28">
        <v>782.29</v>
      </c>
      <c r="J17" s="112">
        <v>0</v>
      </c>
      <c r="K17" s="28">
        <f t="shared" si="0"/>
        <v>0</v>
      </c>
      <c r="L17" s="28"/>
      <c r="M17" s="28"/>
      <c r="N17" s="28" t="str">
        <f t="shared" si="1"/>
        <v/>
      </c>
      <c r="O17" s="28" t="str">
        <f t="shared" si="2"/>
        <v/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f t="shared" si="4"/>
        <v>0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0</v>
      </c>
      <c r="C18" s="28">
        <v>1306.9499999999998</v>
      </c>
      <c r="D18" s="28">
        <v>0</v>
      </c>
      <c r="E18" s="28">
        <v>0</v>
      </c>
      <c r="F18" s="28">
        <v>0</v>
      </c>
      <c r="G18" s="28">
        <f t="shared" si="3"/>
        <v>0</v>
      </c>
      <c r="H18" s="28">
        <v>777.75508100000002</v>
      </c>
      <c r="I18" s="28">
        <v>787.17</v>
      </c>
      <c r="J18" s="112">
        <v>0</v>
      </c>
      <c r="K18" s="28">
        <f t="shared" si="0"/>
        <v>0</v>
      </c>
      <c r="L18" s="28"/>
      <c r="M18" s="28"/>
      <c r="N18" s="28" t="str">
        <f t="shared" si="1"/>
        <v/>
      </c>
      <c r="O18" s="28" t="str">
        <f t="shared" si="2"/>
        <v/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f t="shared" si="4"/>
        <v>0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0</v>
      </c>
      <c r="C19" s="28">
        <v>1298.45</v>
      </c>
      <c r="D19" s="28">
        <v>0</v>
      </c>
      <c r="E19" s="28">
        <v>0</v>
      </c>
      <c r="F19" s="28">
        <v>0</v>
      </c>
      <c r="G19" s="28">
        <f t="shared" si="3"/>
        <v>0</v>
      </c>
      <c r="H19" s="28">
        <v>833.77413899999999</v>
      </c>
      <c r="I19" s="28">
        <v>848.7</v>
      </c>
      <c r="J19" s="112">
        <v>0</v>
      </c>
      <c r="K19" s="28">
        <f t="shared" si="0"/>
        <v>0</v>
      </c>
      <c r="L19" s="28"/>
      <c r="M19" s="28"/>
      <c r="N19" s="28" t="str">
        <f t="shared" si="1"/>
        <v/>
      </c>
      <c r="O19" s="28" t="str">
        <f t="shared" si="2"/>
        <v/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f t="shared" si="4"/>
        <v>0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0</v>
      </c>
      <c r="C20" s="28">
        <v>1271.06</v>
      </c>
      <c r="D20" s="28">
        <v>0</v>
      </c>
      <c r="E20" s="28">
        <v>0</v>
      </c>
      <c r="F20" s="28">
        <v>0</v>
      </c>
      <c r="G20" s="28">
        <f t="shared" si="3"/>
        <v>0</v>
      </c>
      <c r="H20" s="28">
        <v>864.770354</v>
      </c>
      <c r="I20" s="28">
        <v>878.82</v>
      </c>
      <c r="J20" s="112">
        <v>0</v>
      </c>
      <c r="K20" s="28">
        <f t="shared" si="0"/>
        <v>0</v>
      </c>
      <c r="L20" s="28"/>
      <c r="M20" s="28"/>
      <c r="N20" s="28" t="str">
        <f t="shared" si="1"/>
        <v/>
      </c>
      <c r="O20" s="28" t="str">
        <f t="shared" si="2"/>
        <v/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f t="shared" si="4"/>
        <v>0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0</v>
      </c>
      <c r="C21" s="28">
        <v>1265.5500000000002</v>
      </c>
      <c r="D21" s="28">
        <v>0</v>
      </c>
      <c r="E21" s="28">
        <v>0</v>
      </c>
      <c r="F21" s="28">
        <v>0</v>
      </c>
      <c r="G21" s="28">
        <f t="shared" si="3"/>
        <v>0</v>
      </c>
      <c r="H21" s="28">
        <v>859.33665399999995</v>
      </c>
      <c r="I21" s="28">
        <v>884.48</v>
      </c>
      <c r="J21" s="112">
        <v>0</v>
      </c>
      <c r="K21" s="28">
        <f t="shared" si="0"/>
        <v>0</v>
      </c>
      <c r="L21" s="28"/>
      <c r="M21" s="28"/>
      <c r="N21" s="28" t="str">
        <f t="shared" si="1"/>
        <v/>
      </c>
      <c r="O21" s="28" t="str">
        <f t="shared" si="2"/>
        <v/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f t="shared" si="4"/>
        <v>0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0</v>
      </c>
      <c r="C22" s="28">
        <v>1214.46</v>
      </c>
      <c r="D22" s="28">
        <v>0</v>
      </c>
      <c r="E22" s="28">
        <v>0</v>
      </c>
      <c r="F22" s="28">
        <v>0</v>
      </c>
      <c r="G22" s="28">
        <f t="shared" si="3"/>
        <v>0</v>
      </c>
      <c r="H22" s="28">
        <v>907.24836700000003</v>
      </c>
      <c r="I22" s="28">
        <v>931.45</v>
      </c>
      <c r="J22" s="112">
        <v>0</v>
      </c>
      <c r="K22" s="28">
        <f t="shared" si="0"/>
        <v>0</v>
      </c>
      <c r="L22" s="28"/>
      <c r="M22" s="28"/>
      <c r="N22" s="28" t="str">
        <f t="shared" si="1"/>
        <v/>
      </c>
      <c r="O22" s="28" t="str">
        <f t="shared" si="2"/>
        <v/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f t="shared" si="4"/>
        <v>0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0</v>
      </c>
      <c r="C23" s="28">
        <v>1271.3699999999999</v>
      </c>
      <c r="D23" s="28">
        <v>0</v>
      </c>
      <c r="E23" s="28">
        <v>0</v>
      </c>
      <c r="F23" s="28">
        <v>0</v>
      </c>
      <c r="G23" s="28">
        <f t="shared" si="3"/>
        <v>0</v>
      </c>
      <c r="H23" s="28">
        <v>820.98120100000006</v>
      </c>
      <c r="I23" s="28">
        <v>838.92</v>
      </c>
      <c r="J23" s="112">
        <v>0</v>
      </c>
      <c r="K23" s="28">
        <f t="shared" si="0"/>
        <v>0</v>
      </c>
      <c r="L23" s="28"/>
      <c r="M23" s="28"/>
      <c r="N23" s="28" t="str">
        <f t="shared" si="1"/>
        <v/>
      </c>
      <c r="O23" s="28" t="str">
        <f t="shared" si="2"/>
        <v/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f t="shared" si="4"/>
        <v>0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0</v>
      </c>
      <c r="C24" s="28">
        <v>1258.1300000000001</v>
      </c>
      <c r="D24" s="28">
        <v>0</v>
      </c>
      <c r="E24" s="28">
        <v>0</v>
      </c>
      <c r="F24" s="28">
        <v>0</v>
      </c>
      <c r="G24" s="28">
        <f t="shared" si="3"/>
        <v>0</v>
      </c>
      <c r="H24" s="28">
        <v>829.85455300000001</v>
      </c>
      <c r="I24" s="28">
        <v>840.19</v>
      </c>
      <c r="J24" s="112">
        <v>0</v>
      </c>
      <c r="K24" s="28">
        <f t="shared" si="0"/>
        <v>0</v>
      </c>
      <c r="L24" s="28"/>
      <c r="M24" s="28"/>
      <c r="N24" s="28" t="str">
        <f t="shared" si="1"/>
        <v/>
      </c>
      <c r="O24" s="28" t="str">
        <f t="shared" si="2"/>
        <v/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f t="shared" si="4"/>
        <v>0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0</v>
      </c>
      <c r="C25" s="28">
        <v>1245.0999999999999</v>
      </c>
      <c r="D25" s="28">
        <v>0</v>
      </c>
      <c r="E25" s="28">
        <v>0</v>
      </c>
      <c r="F25" s="28">
        <v>0</v>
      </c>
      <c r="G25" s="28">
        <f t="shared" si="3"/>
        <v>0</v>
      </c>
      <c r="H25" s="28">
        <v>843.81008900000006</v>
      </c>
      <c r="I25" s="28">
        <v>851.21</v>
      </c>
      <c r="J25" s="112">
        <v>0</v>
      </c>
      <c r="K25" s="28">
        <f t="shared" si="0"/>
        <v>0</v>
      </c>
      <c r="L25" s="28"/>
      <c r="M25" s="28"/>
      <c r="N25" s="28" t="str">
        <f t="shared" si="1"/>
        <v/>
      </c>
      <c r="O25" s="28" t="str">
        <f t="shared" si="2"/>
        <v/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f t="shared" si="4"/>
        <v>0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0</v>
      </c>
      <c r="C26" s="28">
        <v>1259.5300000000002</v>
      </c>
      <c r="D26" s="28">
        <v>0</v>
      </c>
      <c r="E26" s="28">
        <v>0</v>
      </c>
      <c r="F26" s="28">
        <v>0</v>
      </c>
      <c r="G26" s="28">
        <f t="shared" si="3"/>
        <v>0</v>
      </c>
      <c r="H26" s="28">
        <v>869.00610400000005</v>
      </c>
      <c r="I26" s="28">
        <v>870.19</v>
      </c>
      <c r="J26" s="112">
        <v>0</v>
      </c>
      <c r="K26" s="28">
        <f t="shared" si="0"/>
        <v>0</v>
      </c>
      <c r="L26" s="28"/>
      <c r="M26" s="28"/>
      <c r="N26" s="28" t="str">
        <f t="shared" si="1"/>
        <v/>
      </c>
      <c r="O26" s="28" t="str">
        <f t="shared" si="2"/>
        <v/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f t="shared" si="4"/>
        <v>0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0</v>
      </c>
      <c r="C27" s="28">
        <v>1235.51</v>
      </c>
      <c r="D27" s="28">
        <v>0</v>
      </c>
      <c r="E27" s="28">
        <v>0</v>
      </c>
      <c r="F27" s="28">
        <v>0</v>
      </c>
      <c r="G27" s="28">
        <f t="shared" si="3"/>
        <v>0</v>
      </c>
      <c r="H27" s="28">
        <v>897.78018199999997</v>
      </c>
      <c r="I27" s="28">
        <v>897.8</v>
      </c>
      <c r="J27" s="112">
        <v>0</v>
      </c>
      <c r="K27" s="28">
        <f t="shared" si="0"/>
        <v>0</v>
      </c>
      <c r="L27" s="28"/>
      <c r="M27" s="28"/>
      <c r="N27" s="28" t="str">
        <f t="shared" si="1"/>
        <v/>
      </c>
      <c r="O27" s="28" t="str">
        <f t="shared" si="2"/>
        <v/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f t="shared" si="4"/>
        <v>0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0</v>
      </c>
      <c r="C28" s="28">
        <v>1243.5500000000002</v>
      </c>
      <c r="D28" s="28">
        <v>0</v>
      </c>
      <c r="E28" s="28">
        <v>0</v>
      </c>
      <c r="F28" s="28">
        <v>0</v>
      </c>
      <c r="G28" s="28">
        <f t="shared" si="3"/>
        <v>0</v>
      </c>
      <c r="H28" s="28">
        <v>870.02508499999999</v>
      </c>
      <c r="I28" s="28">
        <v>870.51</v>
      </c>
      <c r="J28" s="112">
        <v>0</v>
      </c>
      <c r="K28" s="28">
        <f t="shared" si="0"/>
        <v>0</v>
      </c>
      <c r="L28" s="28"/>
      <c r="M28" s="28"/>
      <c r="N28" s="28" t="str">
        <f t="shared" si="1"/>
        <v/>
      </c>
      <c r="O28" s="28" t="str">
        <f t="shared" si="2"/>
        <v/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f t="shared" si="4"/>
        <v>0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0</v>
      </c>
      <c r="C29" s="28">
        <v>1285.46</v>
      </c>
      <c r="D29" s="28">
        <v>0</v>
      </c>
      <c r="E29" s="28">
        <v>0</v>
      </c>
      <c r="F29" s="28">
        <v>0</v>
      </c>
      <c r="G29" s="28">
        <f t="shared" si="3"/>
        <v>0</v>
      </c>
      <c r="H29" s="28">
        <v>800.62060499999995</v>
      </c>
      <c r="I29" s="28">
        <v>799.82</v>
      </c>
      <c r="J29" s="112">
        <v>0</v>
      </c>
      <c r="K29" s="28">
        <f t="shared" si="0"/>
        <v>0</v>
      </c>
      <c r="L29" s="28"/>
      <c r="M29" s="28"/>
      <c r="N29" s="28" t="str">
        <f t="shared" si="1"/>
        <v/>
      </c>
      <c r="O29" s="28" t="str">
        <f t="shared" si="2"/>
        <v/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f t="shared" si="4"/>
        <v>0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0</v>
      </c>
      <c r="C30" s="28">
        <v>1276.03</v>
      </c>
      <c r="D30" s="28">
        <v>0</v>
      </c>
      <c r="E30" s="28">
        <v>0</v>
      </c>
      <c r="F30" s="28">
        <v>0</v>
      </c>
      <c r="G30" s="28">
        <f t="shared" si="3"/>
        <v>0</v>
      </c>
      <c r="H30" s="28">
        <v>848.41160600000001</v>
      </c>
      <c r="I30" s="28">
        <v>833.75</v>
      </c>
      <c r="J30" s="112">
        <v>0</v>
      </c>
      <c r="K30" s="28">
        <f t="shared" si="0"/>
        <v>0</v>
      </c>
      <c r="L30" s="28"/>
      <c r="M30" s="28"/>
      <c r="N30" s="28" t="str">
        <f t="shared" si="1"/>
        <v/>
      </c>
      <c r="O30" s="28" t="str">
        <f t="shared" si="2"/>
        <v/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f t="shared" si="4"/>
        <v>0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0</v>
      </c>
      <c r="C31" s="28">
        <v>1279.96</v>
      </c>
      <c r="D31" s="28">
        <v>0</v>
      </c>
      <c r="E31" s="28">
        <v>0</v>
      </c>
      <c r="F31" s="28">
        <v>0</v>
      </c>
      <c r="G31" s="28">
        <f t="shared" si="3"/>
        <v>0</v>
      </c>
      <c r="H31" s="28">
        <v>888.66847200000007</v>
      </c>
      <c r="I31" s="28">
        <v>857.7</v>
      </c>
      <c r="J31" s="112">
        <v>0</v>
      </c>
      <c r="K31" s="28">
        <f t="shared" si="0"/>
        <v>0</v>
      </c>
      <c r="L31" s="28"/>
      <c r="M31" s="28"/>
      <c r="N31" s="28" t="str">
        <f t="shared" si="1"/>
        <v/>
      </c>
      <c r="O31" s="28" t="str">
        <f t="shared" si="2"/>
        <v/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f t="shared" si="4"/>
        <v>0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0</v>
      </c>
      <c r="C32" s="28">
        <v>1280.5</v>
      </c>
      <c r="D32" s="28">
        <v>0</v>
      </c>
      <c r="E32" s="28">
        <v>0</v>
      </c>
      <c r="F32" s="28">
        <v>0</v>
      </c>
      <c r="G32" s="28">
        <f t="shared" si="3"/>
        <v>0</v>
      </c>
      <c r="H32" s="28">
        <v>911.09629799999993</v>
      </c>
      <c r="I32" s="28">
        <v>843.66</v>
      </c>
      <c r="J32" s="112">
        <v>0</v>
      </c>
      <c r="K32" s="28">
        <f t="shared" si="0"/>
        <v>0</v>
      </c>
      <c r="L32" s="28"/>
      <c r="M32" s="28"/>
      <c r="N32" s="28" t="str">
        <f t="shared" si="1"/>
        <v/>
      </c>
      <c r="O32" s="28" t="str">
        <f t="shared" si="2"/>
        <v/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f t="shared" si="4"/>
        <v>0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0</v>
      </c>
      <c r="C33" s="28">
        <v>1293.29</v>
      </c>
      <c r="D33" s="28">
        <v>0</v>
      </c>
      <c r="E33" s="28">
        <v>0</v>
      </c>
      <c r="F33" s="28">
        <v>0</v>
      </c>
      <c r="G33" s="28">
        <f t="shared" si="3"/>
        <v>0</v>
      </c>
      <c r="H33" s="28">
        <v>868.20465000000002</v>
      </c>
      <c r="I33" s="28">
        <v>799.79</v>
      </c>
      <c r="J33" s="112">
        <v>0</v>
      </c>
      <c r="K33" s="28">
        <f t="shared" si="0"/>
        <v>0</v>
      </c>
      <c r="L33" s="28"/>
      <c r="M33" s="28"/>
      <c r="N33" s="28" t="str">
        <f t="shared" si="1"/>
        <v/>
      </c>
      <c r="O33" s="28" t="str">
        <f t="shared" si="2"/>
        <v/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f t="shared" si="4"/>
        <v>0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0</v>
      </c>
      <c r="C34" s="28">
        <v>1275.97</v>
      </c>
      <c r="D34" s="28">
        <v>0</v>
      </c>
      <c r="E34" s="28">
        <v>0</v>
      </c>
      <c r="F34" s="28">
        <v>0</v>
      </c>
      <c r="G34" s="28">
        <f t="shared" si="3"/>
        <v>0</v>
      </c>
      <c r="H34" s="28">
        <v>925.55754000000002</v>
      </c>
      <c r="I34" s="28">
        <v>856.98</v>
      </c>
      <c r="J34" s="112">
        <v>0</v>
      </c>
      <c r="K34" s="28">
        <f t="shared" si="0"/>
        <v>0</v>
      </c>
      <c r="L34" s="28"/>
      <c r="M34" s="28"/>
      <c r="N34" s="28" t="str">
        <f t="shared" si="1"/>
        <v/>
      </c>
      <c r="O34" s="28" t="str">
        <f t="shared" si="2"/>
        <v/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f t="shared" si="4"/>
        <v>0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0</v>
      </c>
      <c r="C35" s="28">
        <v>1328.12</v>
      </c>
      <c r="D35" s="28">
        <v>0</v>
      </c>
      <c r="E35" s="28">
        <v>0</v>
      </c>
      <c r="F35" s="28">
        <v>0</v>
      </c>
      <c r="G35" s="28">
        <f>+E35+F35</f>
        <v>0</v>
      </c>
      <c r="H35" s="28">
        <v>843.11653100000001</v>
      </c>
      <c r="I35" s="28">
        <v>774.64</v>
      </c>
      <c r="J35" s="112">
        <v>0</v>
      </c>
      <c r="K35" s="116">
        <f t="shared" si="0"/>
        <v>0</v>
      </c>
      <c r="L35" s="28"/>
      <c r="M35" s="28"/>
      <c r="N35" s="28" t="str">
        <f t="shared" si="1"/>
        <v/>
      </c>
      <c r="O35" s="28" t="str">
        <f t="shared" si="2"/>
        <v/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f t="shared" si="4"/>
        <v>0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0</v>
      </c>
      <c r="C36" s="35">
        <f t="shared" ref="C36:J36" si="5">SUM(C12:C35)</f>
        <v>30748.699999999993</v>
      </c>
      <c r="D36" s="35">
        <f t="shared" si="5"/>
        <v>0</v>
      </c>
      <c r="E36" s="35">
        <f t="shared" si="5"/>
        <v>0</v>
      </c>
      <c r="F36" s="35">
        <f t="shared" si="5"/>
        <v>0</v>
      </c>
      <c r="G36" s="35">
        <f t="shared" si="5"/>
        <v>0</v>
      </c>
      <c r="H36" s="35">
        <f t="shared" si="5"/>
        <v>19862.701196999999</v>
      </c>
      <c r="I36" s="35">
        <f t="shared" si="5"/>
        <v>19690.780000000002</v>
      </c>
      <c r="J36" s="35">
        <f t="shared" si="5"/>
        <v>0</v>
      </c>
      <c r="K36" s="36"/>
      <c r="L36" s="37"/>
      <c r="M36" s="38"/>
      <c r="N36" s="35" t="str">
        <f>IFERROR(AVERAGE(N12:N35),"")</f>
        <v/>
      </c>
      <c r="O36" s="39">
        <f t="shared" ref="O36:U36" si="6">SUM(O12:O35)</f>
        <v>0</v>
      </c>
      <c r="P36" s="39">
        <f t="shared" si="6"/>
        <v>0</v>
      </c>
      <c r="Q36" s="39">
        <f t="shared" si="6"/>
        <v>0</v>
      </c>
      <c r="R36" s="39">
        <f t="shared" si="6"/>
        <v>0</v>
      </c>
      <c r="S36" s="39">
        <f t="shared" si="6"/>
        <v>0</v>
      </c>
      <c r="T36" s="39">
        <f t="shared" si="6"/>
        <v>0</v>
      </c>
      <c r="U36" s="39">
        <f t="shared" si="6"/>
        <v>0</v>
      </c>
      <c r="V36" s="39">
        <f>SUM(V12:V35)</f>
        <v>0</v>
      </c>
      <c r="W36" s="40">
        <f>SUM(W12:W35)</f>
        <v>0</v>
      </c>
      <c r="X36" s="40"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X36</f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39553.481197000001</v>
      </c>
      <c r="J41" s="41"/>
      <c r="K41" s="13" t="s">
        <v>59</v>
      </c>
      <c r="L41" s="113">
        <v>38541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0</v>
      </c>
      <c r="B42" s="57">
        <v>0</v>
      </c>
      <c r="C42" s="57">
        <v>0</v>
      </c>
      <c r="D42" s="57">
        <v>1</v>
      </c>
      <c r="E42" s="58"/>
      <c r="F42" s="58"/>
      <c r="G42" s="41"/>
      <c r="H42" s="217"/>
      <c r="I42" s="219"/>
      <c r="J42" s="41"/>
      <c r="K42" s="59" t="s">
        <v>60</v>
      </c>
      <c r="L42" s="114">
        <v>18183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 t="str">
        <f>IFERROR(3412.14/N36,"")</f>
        <v/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29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Amarildo Reales Silvera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295950</v>
      </c>
      <c r="C58" s="28">
        <v>0</v>
      </c>
      <c r="D58" s="81">
        <v>29176.799999999999</v>
      </c>
      <c r="E58" s="82">
        <v>259.56</v>
      </c>
      <c r="F58" s="83">
        <v>0</v>
      </c>
      <c r="G58" s="82">
        <v>270</v>
      </c>
      <c r="H58" s="84">
        <f t="shared" ref="H58:H81" si="7">IF(G58=0,0,100*(E58-G58)/G58)</f>
        <v>-3.8666666666666658</v>
      </c>
      <c r="I58" s="85"/>
      <c r="J58" s="85" t="s">
        <v>102</v>
      </c>
      <c r="K58" s="86">
        <f t="shared" ref="K58:K81" si="8">IFERROR(U58*1000*2.2*$K$92/E58/1000,"")</f>
        <v>9865.194128525196</v>
      </c>
      <c r="L58" s="87" t="str">
        <f t="shared" ref="L58:L81" si="9">IF(OR(H58&gt;5,H58&lt;-5),E58-G58,"")</f>
        <v/>
      </c>
      <c r="M58" s="88">
        <v>11.03</v>
      </c>
      <c r="N58" s="88">
        <v>17.87</v>
      </c>
      <c r="O58" s="88">
        <v>17.96</v>
      </c>
      <c r="P58" s="88">
        <v>16.54</v>
      </c>
      <c r="Q58" s="88">
        <v>17.18</v>
      </c>
      <c r="R58" s="88">
        <v>11.21</v>
      </c>
      <c r="S58" s="88">
        <v>16.239999999999998</v>
      </c>
      <c r="T58" s="88">
        <v>21.38</v>
      </c>
      <c r="U58" s="28">
        <f>+SUM(M58:T58)</f>
        <v>129.41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295970</v>
      </c>
      <c r="C59" s="28">
        <v>0</v>
      </c>
      <c r="D59" s="81">
        <v>26881.35</v>
      </c>
      <c r="E59" s="82">
        <v>259.66000000000003</v>
      </c>
      <c r="F59" s="82">
        <v>0</v>
      </c>
      <c r="G59" s="82">
        <v>270</v>
      </c>
      <c r="H59" s="91">
        <f t="shared" si="7"/>
        <v>-3.8296296296296202</v>
      </c>
      <c r="I59" s="85"/>
      <c r="J59" s="85" t="s">
        <v>102</v>
      </c>
      <c r="K59" s="86">
        <f t="shared" si="8"/>
        <v>9816.4352460910413</v>
      </c>
      <c r="L59" s="87" t="str">
        <f t="shared" si="9"/>
        <v/>
      </c>
      <c r="M59" s="88">
        <v>10.93</v>
      </c>
      <c r="N59" s="88">
        <v>17.86</v>
      </c>
      <c r="O59" s="88">
        <v>17.98</v>
      </c>
      <c r="P59" s="88">
        <v>16.350000000000001</v>
      </c>
      <c r="Q59" s="88">
        <v>17.05</v>
      </c>
      <c r="R59" s="88">
        <v>11.18</v>
      </c>
      <c r="S59" s="88">
        <v>16.149999999999999</v>
      </c>
      <c r="T59" s="88">
        <v>21.32</v>
      </c>
      <c r="U59" s="28">
        <f t="shared" ref="U59:U81" si="10">+SUM(M59:T59)</f>
        <v>128.82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295930</v>
      </c>
      <c r="C60" s="28">
        <v>0</v>
      </c>
      <c r="D60" s="81">
        <v>28343.63</v>
      </c>
      <c r="E60" s="82">
        <v>259.32</v>
      </c>
      <c r="F60" s="82">
        <v>0</v>
      </c>
      <c r="G60" s="82">
        <v>270</v>
      </c>
      <c r="H60" s="91">
        <f t="shared" si="7"/>
        <v>-3.9555555555555579</v>
      </c>
      <c r="I60" s="85"/>
      <c r="J60" s="85" t="s">
        <v>102</v>
      </c>
      <c r="K60" s="86">
        <f t="shared" si="8"/>
        <v>9862.8789449329015</v>
      </c>
      <c r="L60" s="87" t="str">
        <f t="shared" si="9"/>
        <v/>
      </c>
      <c r="M60" s="88">
        <v>10.97</v>
      </c>
      <c r="N60" s="88">
        <v>17.88</v>
      </c>
      <c r="O60" s="88">
        <v>18.07</v>
      </c>
      <c r="P60" s="88">
        <v>16.420000000000002</v>
      </c>
      <c r="Q60" s="88">
        <v>17.13</v>
      </c>
      <c r="R60" s="88">
        <v>11.28</v>
      </c>
      <c r="S60" s="88">
        <v>16.22</v>
      </c>
      <c r="T60" s="88">
        <v>21.29</v>
      </c>
      <c r="U60" s="28">
        <f t="shared" si="10"/>
        <v>129.26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295930</v>
      </c>
      <c r="C61" s="28">
        <v>0</v>
      </c>
      <c r="D61" s="81">
        <v>29786.79</v>
      </c>
      <c r="E61" s="82">
        <v>259.33999999999997</v>
      </c>
      <c r="F61" s="82">
        <v>0</v>
      </c>
      <c r="G61" s="82">
        <v>270</v>
      </c>
      <c r="H61" s="91">
        <f t="shared" si="7"/>
        <v>-3.9481481481481575</v>
      </c>
      <c r="I61" s="85"/>
      <c r="J61" s="85" t="s">
        <v>102</v>
      </c>
      <c r="K61" s="86">
        <f t="shared" si="8"/>
        <v>9856.0145908845534</v>
      </c>
      <c r="L61" s="87" t="str">
        <f t="shared" si="9"/>
        <v/>
      </c>
      <c r="M61" s="88">
        <v>11.01</v>
      </c>
      <c r="N61" s="88">
        <v>17.86</v>
      </c>
      <c r="O61" s="88">
        <v>18.03</v>
      </c>
      <c r="P61" s="88">
        <v>16.43</v>
      </c>
      <c r="Q61" s="88">
        <v>17.149999999999999</v>
      </c>
      <c r="R61" s="88">
        <v>11.21</v>
      </c>
      <c r="S61" s="88">
        <v>16.190000000000001</v>
      </c>
      <c r="T61" s="88">
        <v>21.3</v>
      </c>
      <c r="U61" s="28">
        <f t="shared" si="10"/>
        <v>129.18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295980</v>
      </c>
      <c r="C62" s="28">
        <v>0</v>
      </c>
      <c r="D62" s="81">
        <v>32335.200000000001</v>
      </c>
      <c r="E62" s="82">
        <v>259.17</v>
      </c>
      <c r="F62" s="82">
        <v>0</v>
      </c>
      <c r="G62" s="82">
        <v>270</v>
      </c>
      <c r="H62" s="91">
        <f t="shared" si="7"/>
        <v>-4.0111111111111049</v>
      </c>
      <c r="I62" s="85"/>
      <c r="J62" s="85" t="s">
        <v>102</v>
      </c>
      <c r="K62" s="86">
        <f t="shared" si="8"/>
        <v>9852.5544623220267</v>
      </c>
      <c r="L62" s="87" t="str">
        <f t="shared" si="9"/>
        <v/>
      </c>
      <c r="M62" s="88">
        <v>10.99</v>
      </c>
      <c r="N62" s="88">
        <v>17.88</v>
      </c>
      <c r="O62" s="88">
        <v>18.010000000000002</v>
      </c>
      <c r="P62" s="88">
        <v>16.29</v>
      </c>
      <c r="Q62" s="88">
        <v>17.09</v>
      </c>
      <c r="R62" s="88">
        <v>11.29</v>
      </c>
      <c r="S62" s="88">
        <v>16.22</v>
      </c>
      <c r="T62" s="88">
        <v>21.28</v>
      </c>
      <c r="U62" s="28">
        <f t="shared" si="10"/>
        <v>129.04999999999998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296020</v>
      </c>
      <c r="C63" s="28">
        <v>0</v>
      </c>
      <c r="D63" s="81">
        <v>34327.129999999997</v>
      </c>
      <c r="E63" s="82">
        <v>259.07</v>
      </c>
      <c r="F63" s="82">
        <v>0</v>
      </c>
      <c r="G63" s="82">
        <v>270</v>
      </c>
      <c r="H63" s="91">
        <f t="shared" si="7"/>
        <v>-4.0481481481481509</v>
      </c>
      <c r="I63" s="85"/>
      <c r="J63" s="85" t="s">
        <v>102</v>
      </c>
      <c r="K63" s="86">
        <f t="shared" si="8"/>
        <v>9880.7979156212605</v>
      </c>
      <c r="L63" s="87" t="str">
        <f t="shared" si="9"/>
        <v/>
      </c>
      <c r="M63" s="88">
        <v>11.07</v>
      </c>
      <c r="N63" s="88">
        <v>17.91</v>
      </c>
      <c r="O63" s="88">
        <v>18.07</v>
      </c>
      <c r="P63" s="88">
        <v>16.329999999999998</v>
      </c>
      <c r="Q63" s="88">
        <v>17.23</v>
      </c>
      <c r="R63" s="88">
        <v>11.15</v>
      </c>
      <c r="S63" s="88">
        <v>16.23</v>
      </c>
      <c r="T63" s="88">
        <v>21.38</v>
      </c>
      <c r="U63" s="28">
        <f t="shared" si="10"/>
        <v>129.37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296060</v>
      </c>
      <c r="C64" s="28">
        <v>0</v>
      </c>
      <c r="D64" s="81">
        <v>35251.800000000003</v>
      </c>
      <c r="E64" s="82">
        <v>259.36</v>
      </c>
      <c r="F64" s="82">
        <v>0</v>
      </c>
      <c r="G64" s="82">
        <v>270</v>
      </c>
      <c r="H64" s="91">
        <f t="shared" si="7"/>
        <v>-3.9407407407407358</v>
      </c>
      <c r="I64" s="85"/>
      <c r="J64" s="85" t="s">
        <v>102</v>
      </c>
      <c r="K64" s="86">
        <f t="shared" si="8"/>
        <v>9912.4727174583586</v>
      </c>
      <c r="L64" s="87" t="str">
        <f t="shared" si="9"/>
        <v/>
      </c>
      <c r="M64" s="88">
        <v>11.13</v>
      </c>
      <c r="N64" s="88">
        <v>17.95</v>
      </c>
      <c r="O64" s="88">
        <v>18.14</v>
      </c>
      <c r="P64" s="88">
        <v>16.510000000000002</v>
      </c>
      <c r="Q64" s="88">
        <v>17.34</v>
      </c>
      <c r="R64" s="88">
        <v>11.12</v>
      </c>
      <c r="S64" s="88">
        <v>16.32</v>
      </c>
      <c r="T64" s="88">
        <v>21.42</v>
      </c>
      <c r="U64" s="28">
        <f t="shared" si="10"/>
        <v>129.93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293170</v>
      </c>
      <c r="C65" s="28">
        <v>0</v>
      </c>
      <c r="D65" s="81">
        <v>34966.300000000003</v>
      </c>
      <c r="E65" s="82">
        <v>257.2</v>
      </c>
      <c r="F65" s="82">
        <v>0</v>
      </c>
      <c r="G65" s="82">
        <v>270</v>
      </c>
      <c r="H65" s="91">
        <f t="shared" si="7"/>
        <v>-4.7407407407407449</v>
      </c>
      <c r="I65" s="85"/>
      <c r="J65" s="85" t="s">
        <v>102</v>
      </c>
      <c r="K65" s="86">
        <f t="shared" si="8"/>
        <v>9872.6284758942475</v>
      </c>
      <c r="L65" s="87" t="str">
        <f t="shared" si="9"/>
        <v/>
      </c>
      <c r="M65" s="88">
        <v>10.86</v>
      </c>
      <c r="N65" s="88">
        <v>17.75</v>
      </c>
      <c r="O65" s="88">
        <v>17.98</v>
      </c>
      <c r="P65" s="88">
        <v>16.12</v>
      </c>
      <c r="Q65" s="88">
        <v>17.07</v>
      </c>
      <c r="R65" s="88">
        <v>11.22</v>
      </c>
      <c r="S65" s="88">
        <v>16.09</v>
      </c>
      <c r="T65" s="88">
        <v>21.24</v>
      </c>
      <c r="U65" s="28">
        <f t="shared" si="10"/>
        <v>128.33000000000001</v>
      </c>
      <c r="V65" s="81">
        <v>9.2624999999999886</v>
      </c>
      <c r="W65" s="81">
        <v>0</v>
      </c>
      <c r="X65" s="89"/>
      <c r="Y65"/>
    </row>
    <row r="66" spans="1:25" ht="16.5" x14ac:dyDescent="0.3">
      <c r="A66" s="90">
        <v>9</v>
      </c>
      <c r="B66" s="28">
        <v>270490</v>
      </c>
      <c r="C66" s="28">
        <v>0</v>
      </c>
      <c r="D66" s="81">
        <v>29970.44</v>
      </c>
      <c r="E66" s="82">
        <v>236.55</v>
      </c>
      <c r="F66" s="82">
        <v>0</v>
      </c>
      <c r="G66" s="82">
        <v>270</v>
      </c>
      <c r="H66" s="91">
        <f t="shared" si="7"/>
        <v>-12.388888888888886</v>
      </c>
      <c r="I66" s="85"/>
      <c r="J66" s="85" t="s">
        <v>102</v>
      </c>
      <c r="K66" s="86">
        <f t="shared" si="8"/>
        <v>10097.917970830689</v>
      </c>
      <c r="L66" s="87">
        <f t="shared" si="9"/>
        <v>-33.449999999999989</v>
      </c>
      <c r="M66" s="88">
        <v>9.9499999999999993</v>
      </c>
      <c r="N66" s="88">
        <v>16.8</v>
      </c>
      <c r="O66" s="88">
        <v>17.079999999999998</v>
      </c>
      <c r="P66" s="88">
        <v>15.25</v>
      </c>
      <c r="Q66" s="88">
        <v>15.72</v>
      </c>
      <c r="R66" s="88">
        <v>11.25</v>
      </c>
      <c r="S66" s="88">
        <v>14.8</v>
      </c>
      <c r="T66" s="88">
        <v>19.87</v>
      </c>
      <c r="U66" s="28">
        <f t="shared" si="10"/>
        <v>120.72</v>
      </c>
      <c r="V66" s="81">
        <v>9.2624999999999886</v>
      </c>
      <c r="W66" s="81">
        <v>0</v>
      </c>
      <c r="X66" s="89"/>
      <c r="Y66"/>
    </row>
    <row r="67" spans="1:25" ht="16.5" x14ac:dyDescent="0.3">
      <c r="A67" s="90">
        <v>10</v>
      </c>
      <c r="B67" s="28">
        <v>269880</v>
      </c>
      <c r="C67" s="28">
        <v>0</v>
      </c>
      <c r="D67" s="81">
        <v>29880.01</v>
      </c>
      <c r="E67" s="82">
        <v>235.48</v>
      </c>
      <c r="F67" s="82">
        <v>0</v>
      </c>
      <c r="G67" s="82">
        <v>270</v>
      </c>
      <c r="H67" s="91">
        <f t="shared" si="7"/>
        <v>-12.785185185185188</v>
      </c>
      <c r="I67" s="85"/>
      <c r="J67" s="85" t="s">
        <v>102</v>
      </c>
      <c r="K67" s="86">
        <f t="shared" si="8"/>
        <v>10140.440903686091</v>
      </c>
      <c r="L67" s="87">
        <f t="shared" si="9"/>
        <v>-34.52000000000001</v>
      </c>
      <c r="M67" s="88">
        <v>9.9600000000000009</v>
      </c>
      <c r="N67" s="88">
        <v>16.77</v>
      </c>
      <c r="O67" s="88">
        <v>17.100000000000001</v>
      </c>
      <c r="P67" s="88">
        <v>15.31</v>
      </c>
      <c r="Q67" s="88">
        <v>15.62</v>
      </c>
      <c r="R67" s="88">
        <v>11.29</v>
      </c>
      <c r="S67" s="88">
        <v>14.76</v>
      </c>
      <c r="T67" s="88">
        <v>19.87</v>
      </c>
      <c r="U67" s="28">
        <f t="shared" si="10"/>
        <v>120.68000000000002</v>
      </c>
      <c r="V67" s="81">
        <v>9.2624999999999886</v>
      </c>
      <c r="W67" s="81">
        <v>0</v>
      </c>
      <c r="X67" s="89"/>
      <c r="Y67"/>
    </row>
    <row r="68" spans="1:25" ht="16.5" x14ac:dyDescent="0.3">
      <c r="A68" s="90">
        <v>11</v>
      </c>
      <c r="B68" s="28">
        <v>269920</v>
      </c>
      <c r="C68" s="28">
        <v>0</v>
      </c>
      <c r="D68" s="81">
        <v>29909.64</v>
      </c>
      <c r="E68" s="82">
        <v>235.39</v>
      </c>
      <c r="F68" s="82">
        <v>0</v>
      </c>
      <c r="G68" s="82">
        <v>270</v>
      </c>
      <c r="H68" s="91">
        <f t="shared" si="7"/>
        <v>-12.818518518518523</v>
      </c>
      <c r="I68" s="85"/>
      <c r="J68" s="85" t="s">
        <v>102</v>
      </c>
      <c r="K68" s="86">
        <f t="shared" si="8"/>
        <v>10210.725162496283</v>
      </c>
      <c r="L68" s="87">
        <f t="shared" si="9"/>
        <v>-34.610000000000014</v>
      </c>
      <c r="M68" s="88">
        <v>10.1</v>
      </c>
      <c r="N68" s="88">
        <v>16.86</v>
      </c>
      <c r="O68" s="88">
        <v>17.18</v>
      </c>
      <c r="P68" s="92">
        <v>15.36</v>
      </c>
      <c r="Q68" s="88">
        <v>15.78</v>
      </c>
      <c r="R68" s="88">
        <v>11.2</v>
      </c>
      <c r="S68" s="88">
        <v>14.93</v>
      </c>
      <c r="T68" s="88">
        <v>20.059999999999999</v>
      </c>
      <c r="U68" s="28">
        <f t="shared" si="10"/>
        <v>121.47</v>
      </c>
      <c r="V68" s="81">
        <v>9.2624999999999886</v>
      </c>
      <c r="W68" s="81">
        <v>0</v>
      </c>
      <c r="X68" s="89"/>
      <c r="Y68"/>
    </row>
    <row r="69" spans="1:25" ht="16.5" x14ac:dyDescent="0.3">
      <c r="A69" s="90">
        <v>12</v>
      </c>
      <c r="B69" s="28">
        <v>269940</v>
      </c>
      <c r="C69" s="28">
        <v>0</v>
      </c>
      <c r="D69" s="81">
        <v>29595.96</v>
      </c>
      <c r="E69" s="82">
        <v>234.98</v>
      </c>
      <c r="F69" s="82">
        <v>0</v>
      </c>
      <c r="G69" s="82">
        <v>270</v>
      </c>
      <c r="H69" s="91">
        <f t="shared" si="7"/>
        <v>-12.970370370370373</v>
      </c>
      <c r="I69" s="85"/>
      <c r="J69" s="85" t="s">
        <v>102</v>
      </c>
      <c r="K69" s="86">
        <f t="shared" si="8"/>
        <v>10199.068925014895</v>
      </c>
      <c r="L69" s="87">
        <f t="shared" si="9"/>
        <v>-35.02000000000001</v>
      </c>
      <c r="M69" s="88">
        <v>10.029999999999999</v>
      </c>
      <c r="N69" s="88">
        <v>16.86</v>
      </c>
      <c r="O69" s="88">
        <v>17.16</v>
      </c>
      <c r="P69" s="92">
        <v>15.23</v>
      </c>
      <c r="Q69" s="88">
        <v>15.74</v>
      </c>
      <c r="R69" s="88">
        <v>11.21</v>
      </c>
      <c r="S69" s="88">
        <v>14.93</v>
      </c>
      <c r="T69" s="88">
        <v>19.96</v>
      </c>
      <c r="U69" s="28">
        <f t="shared" si="10"/>
        <v>121.12</v>
      </c>
      <c r="V69" s="81">
        <v>9.2624999999999886</v>
      </c>
      <c r="W69" s="81">
        <v>0</v>
      </c>
      <c r="X69" s="89"/>
      <c r="Y69"/>
    </row>
    <row r="70" spans="1:25" ht="16.5" x14ac:dyDescent="0.3">
      <c r="A70" s="90">
        <v>13</v>
      </c>
      <c r="B70" s="28">
        <v>270060</v>
      </c>
      <c r="C70" s="28">
        <v>0</v>
      </c>
      <c r="D70" s="81">
        <v>29023.360000000001</v>
      </c>
      <c r="E70" s="82">
        <v>234.94</v>
      </c>
      <c r="F70" s="82">
        <v>0</v>
      </c>
      <c r="G70" s="82">
        <v>270</v>
      </c>
      <c r="H70" s="91">
        <f t="shared" si="7"/>
        <v>-12.985185185185186</v>
      </c>
      <c r="I70" s="85"/>
      <c r="J70" s="85" t="s">
        <v>102</v>
      </c>
      <c r="K70" s="86">
        <f t="shared" si="8"/>
        <v>10262.286456116457</v>
      </c>
      <c r="L70" s="87">
        <f t="shared" si="9"/>
        <v>-35.06</v>
      </c>
      <c r="M70" s="88">
        <v>10.130000000000001</v>
      </c>
      <c r="N70" s="88">
        <v>16.95</v>
      </c>
      <c r="O70" s="88">
        <v>17.21</v>
      </c>
      <c r="P70" s="92">
        <v>15.46</v>
      </c>
      <c r="Q70" s="88">
        <v>15.84</v>
      </c>
      <c r="R70" s="88">
        <v>11.21</v>
      </c>
      <c r="S70" s="88">
        <v>15.01</v>
      </c>
      <c r="T70" s="88">
        <v>20.04</v>
      </c>
      <c r="U70" s="28">
        <f t="shared" si="10"/>
        <v>121.85000000000002</v>
      </c>
      <c r="V70" s="81">
        <v>9.2624999999999886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269940</v>
      </c>
      <c r="C71" s="28">
        <v>0</v>
      </c>
      <c r="D71" s="81">
        <v>24451.11</v>
      </c>
      <c r="E71" s="82">
        <v>234.9</v>
      </c>
      <c r="F71" s="82">
        <v>0</v>
      </c>
      <c r="G71" s="82">
        <v>270</v>
      </c>
      <c r="H71" s="91">
        <f t="shared" si="7"/>
        <v>-12.999999999999998</v>
      </c>
      <c r="I71" s="85"/>
      <c r="J71" s="85" t="s">
        <v>102</v>
      </c>
      <c r="K71" s="86">
        <f t="shared" si="8"/>
        <v>10252.241072796935</v>
      </c>
      <c r="L71" s="87">
        <f t="shared" si="9"/>
        <v>-35.099999999999994</v>
      </c>
      <c r="M71" s="88">
        <v>10.07</v>
      </c>
      <c r="N71" s="88">
        <v>16.899999999999999</v>
      </c>
      <c r="O71" s="88">
        <v>17.25</v>
      </c>
      <c r="P71" s="92">
        <v>15.37</v>
      </c>
      <c r="Q71" s="88">
        <v>15.84</v>
      </c>
      <c r="R71" s="88">
        <v>11.28</v>
      </c>
      <c r="S71" s="88">
        <v>14.93</v>
      </c>
      <c r="T71" s="88">
        <v>20.07</v>
      </c>
      <c r="U71" s="28">
        <f t="shared" si="10"/>
        <v>121.70999999999998</v>
      </c>
      <c r="V71" s="81">
        <v>9.2624999999999886</v>
      </c>
      <c r="W71" s="81">
        <v>0</v>
      </c>
      <c r="X71" s="89"/>
      <c r="Y71"/>
    </row>
    <row r="72" spans="1:25" ht="16.5" x14ac:dyDescent="0.3">
      <c r="A72" s="90">
        <v>15</v>
      </c>
      <c r="B72" s="28">
        <v>269910</v>
      </c>
      <c r="C72" s="28">
        <v>0</v>
      </c>
      <c r="D72" s="81">
        <v>24260.15</v>
      </c>
      <c r="E72" s="82">
        <v>235.1</v>
      </c>
      <c r="F72" s="82">
        <v>0</v>
      </c>
      <c r="G72" s="82">
        <v>270</v>
      </c>
      <c r="H72" s="91">
        <f t="shared" si="7"/>
        <v>-12.925925925925927</v>
      </c>
      <c r="I72" s="85"/>
      <c r="J72" s="85" t="s">
        <v>102</v>
      </c>
      <c r="K72" s="86">
        <f t="shared" si="8"/>
        <v>10194.704738409187</v>
      </c>
      <c r="L72" s="87">
        <f t="shared" si="9"/>
        <v>-34.900000000000006</v>
      </c>
      <c r="M72" s="88">
        <v>10.08</v>
      </c>
      <c r="N72" s="88">
        <v>16.84</v>
      </c>
      <c r="O72" s="88">
        <v>17.14</v>
      </c>
      <c r="P72" s="92">
        <v>15.39</v>
      </c>
      <c r="Q72" s="88">
        <v>15.69</v>
      </c>
      <c r="R72" s="88">
        <v>11.21</v>
      </c>
      <c r="S72" s="88">
        <v>14.88</v>
      </c>
      <c r="T72" s="88">
        <v>19.899999999999999</v>
      </c>
      <c r="U72" s="28">
        <f t="shared" si="10"/>
        <v>121.13</v>
      </c>
      <c r="V72" s="81">
        <v>9.2624999999999886</v>
      </c>
      <c r="W72" s="81">
        <v>0</v>
      </c>
      <c r="X72" s="89"/>
      <c r="Y72"/>
    </row>
    <row r="73" spans="1:25" ht="16.5" x14ac:dyDescent="0.3">
      <c r="A73" s="90">
        <v>16</v>
      </c>
      <c r="B73" s="28">
        <v>271900</v>
      </c>
      <c r="C73" s="28">
        <v>0</v>
      </c>
      <c r="D73" s="81">
        <v>27052.09</v>
      </c>
      <c r="E73" s="82">
        <v>236.2</v>
      </c>
      <c r="F73" s="82">
        <v>0</v>
      </c>
      <c r="G73" s="82">
        <v>270</v>
      </c>
      <c r="H73" s="91">
        <f t="shared" si="7"/>
        <v>-12.518518518518523</v>
      </c>
      <c r="I73" s="85"/>
      <c r="J73" s="85" t="s">
        <v>102</v>
      </c>
      <c r="K73" s="86">
        <f t="shared" si="8"/>
        <v>10331.524318374259</v>
      </c>
      <c r="L73" s="87">
        <f t="shared" si="9"/>
        <v>-33.800000000000011</v>
      </c>
      <c r="M73" s="88">
        <v>10.27</v>
      </c>
      <c r="N73" s="88">
        <v>17.09</v>
      </c>
      <c r="O73" s="88">
        <v>17.38</v>
      </c>
      <c r="P73" s="88">
        <v>15.71</v>
      </c>
      <c r="Q73" s="88">
        <v>16.100000000000001</v>
      </c>
      <c r="R73" s="88">
        <v>11.27</v>
      </c>
      <c r="S73" s="88">
        <v>15.2</v>
      </c>
      <c r="T73" s="88">
        <v>20.309999999999999</v>
      </c>
      <c r="U73" s="28">
        <f t="shared" si="10"/>
        <v>123.33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284710</v>
      </c>
      <c r="C74" s="28">
        <v>0</v>
      </c>
      <c r="D74" s="81">
        <v>31861.61</v>
      </c>
      <c r="E74" s="82">
        <v>248.17</v>
      </c>
      <c r="F74" s="82">
        <v>0</v>
      </c>
      <c r="G74" s="82">
        <v>270</v>
      </c>
      <c r="H74" s="91">
        <f t="shared" si="7"/>
        <v>-8.0851851851851908</v>
      </c>
      <c r="I74" s="85"/>
      <c r="J74" s="85" t="s">
        <v>102</v>
      </c>
      <c r="K74" s="86">
        <f t="shared" si="8"/>
        <v>10432.779062739251</v>
      </c>
      <c r="L74" s="87">
        <f t="shared" si="9"/>
        <v>-21.830000000000013</v>
      </c>
      <c r="M74" s="88">
        <v>11.18</v>
      </c>
      <c r="N74" s="88">
        <v>18.09</v>
      </c>
      <c r="O74" s="88">
        <v>18.28</v>
      </c>
      <c r="P74" s="88">
        <v>16.52</v>
      </c>
      <c r="Q74" s="88">
        <v>17.47</v>
      </c>
      <c r="R74" s="88">
        <v>11.26</v>
      </c>
      <c r="S74" s="88">
        <v>16.46</v>
      </c>
      <c r="T74" s="88">
        <v>21.59</v>
      </c>
      <c r="U74" s="28">
        <f t="shared" si="10"/>
        <v>130.85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273790</v>
      </c>
      <c r="C75" s="28">
        <v>0</v>
      </c>
      <c r="D75" s="81">
        <v>28347.48</v>
      </c>
      <c r="E75" s="82">
        <v>238</v>
      </c>
      <c r="F75" s="82">
        <v>0</v>
      </c>
      <c r="G75" s="82">
        <v>270</v>
      </c>
      <c r="H75" s="91">
        <f t="shared" si="7"/>
        <v>-11.851851851851851</v>
      </c>
      <c r="I75" s="85"/>
      <c r="J75" s="85" t="s">
        <v>102</v>
      </c>
      <c r="K75" s="86">
        <f t="shared" si="8"/>
        <v>10548.52598319328</v>
      </c>
      <c r="L75" s="87">
        <f t="shared" si="9"/>
        <v>-32</v>
      </c>
      <c r="M75" s="88">
        <v>10.73</v>
      </c>
      <c r="N75" s="88">
        <v>17.579999999999998</v>
      </c>
      <c r="O75" s="88">
        <v>17.760000000000002</v>
      </c>
      <c r="P75" s="88">
        <v>16.11</v>
      </c>
      <c r="Q75" s="88">
        <v>16.77</v>
      </c>
      <c r="R75" s="88">
        <v>11.26</v>
      </c>
      <c r="S75" s="88">
        <v>15.75</v>
      </c>
      <c r="T75" s="88">
        <v>20.92</v>
      </c>
      <c r="U75" s="28">
        <f t="shared" si="10"/>
        <v>126.88000000000001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232970</v>
      </c>
      <c r="C76" s="28">
        <v>0</v>
      </c>
      <c r="D76" s="81">
        <v>20319.46</v>
      </c>
      <c r="E76" s="82">
        <v>203.89</v>
      </c>
      <c r="F76" s="82">
        <v>0</v>
      </c>
      <c r="G76" s="82">
        <v>270</v>
      </c>
      <c r="H76" s="91">
        <f t="shared" si="7"/>
        <v>-24.485185185185191</v>
      </c>
      <c r="I76" s="85"/>
      <c r="J76" s="85" t="s">
        <v>102</v>
      </c>
      <c r="K76" s="86">
        <f t="shared" si="8"/>
        <v>11707.683319436952</v>
      </c>
      <c r="L76" s="87">
        <f t="shared" si="9"/>
        <v>-66.110000000000014</v>
      </c>
      <c r="M76" s="88">
        <v>9.99</v>
      </c>
      <c r="N76" s="88">
        <v>16.77</v>
      </c>
      <c r="O76" s="88">
        <v>17.02</v>
      </c>
      <c r="P76" s="88">
        <v>15.35</v>
      </c>
      <c r="Q76" s="88">
        <v>15.57</v>
      </c>
      <c r="R76" s="88">
        <v>11.22</v>
      </c>
      <c r="S76" s="88">
        <v>14.8</v>
      </c>
      <c r="T76" s="88">
        <v>19.920000000000002</v>
      </c>
      <c r="U76" s="28">
        <f t="shared" si="10"/>
        <v>120.64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153000</v>
      </c>
      <c r="C77" s="28">
        <v>171.05</v>
      </c>
      <c r="D77" s="81">
        <v>7625.85</v>
      </c>
      <c r="E77" s="82">
        <v>140.9</v>
      </c>
      <c r="F77" s="82">
        <v>0</v>
      </c>
      <c r="G77" s="82">
        <v>270</v>
      </c>
      <c r="H77" s="91">
        <f t="shared" si="7"/>
        <v>-47.814814814814817</v>
      </c>
      <c r="I77" s="85"/>
      <c r="J77" s="85" t="s">
        <v>102</v>
      </c>
      <c r="K77" s="86">
        <f t="shared" si="8"/>
        <v>10592.748928317955</v>
      </c>
      <c r="L77" s="87">
        <f t="shared" si="9"/>
        <v>-129.1</v>
      </c>
      <c r="M77" s="88">
        <v>7.85</v>
      </c>
      <c r="N77" s="88">
        <v>9.74</v>
      </c>
      <c r="O77" s="88">
        <v>11.75</v>
      </c>
      <c r="P77" s="88">
        <v>9.1300000000000008</v>
      </c>
      <c r="Q77" s="88">
        <v>9.11</v>
      </c>
      <c r="R77" s="88">
        <v>6.55</v>
      </c>
      <c r="S77" s="88">
        <v>9.48</v>
      </c>
      <c r="T77" s="88">
        <v>11.82</v>
      </c>
      <c r="U77" s="28">
        <f t="shared" si="10"/>
        <v>75.430000000000007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19.12</v>
      </c>
      <c r="D78" s="81">
        <v>1447.9</v>
      </c>
      <c r="E78" s="82">
        <v>0.4</v>
      </c>
      <c r="F78" s="82">
        <v>14419.59</v>
      </c>
      <c r="G78" s="82">
        <v>270</v>
      </c>
      <c r="H78" s="91">
        <f t="shared" si="7"/>
        <v>-99.851851851851862</v>
      </c>
      <c r="I78" s="85"/>
      <c r="J78" s="85" t="s">
        <v>103</v>
      </c>
      <c r="K78" s="86">
        <f t="shared" si="8"/>
        <v>0</v>
      </c>
      <c r="L78" s="87">
        <f t="shared" si="9"/>
        <v>-269.60000000000002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0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478.17</v>
      </c>
      <c r="D79" s="81">
        <v>76.400000000000006</v>
      </c>
      <c r="E79" s="82">
        <v>0</v>
      </c>
      <c r="F79" s="82">
        <v>10332.19</v>
      </c>
      <c r="G79" s="82">
        <v>270</v>
      </c>
      <c r="H79" s="91">
        <f t="shared" si="7"/>
        <v>-100</v>
      </c>
      <c r="I79" s="85"/>
      <c r="J79" s="85" t="s">
        <v>103</v>
      </c>
      <c r="K79" s="86" t="str">
        <f t="shared" si="8"/>
        <v/>
      </c>
      <c r="L79" s="87">
        <f t="shared" si="9"/>
        <v>-270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0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1430.31</v>
      </c>
      <c r="D80" s="81">
        <v>0</v>
      </c>
      <c r="E80" s="82">
        <v>0</v>
      </c>
      <c r="F80" s="82">
        <v>6663.03</v>
      </c>
      <c r="G80" s="82">
        <v>270</v>
      </c>
      <c r="H80" s="91">
        <f t="shared" si="7"/>
        <v>-100</v>
      </c>
      <c r="I80" s="85"/>
      <c r="J80" s="85" t="s">
        <v>103</v>
      </c>
      <c r="K80" s="86" t="str">
        <f t="shared" si="8"/>
        <v/>
      </c>
      <c r="L80" s="87">
        <f t="shared" si="9"/>
        <v>-270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0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1344.98</v>
      </c>
      <c r="D81" s="28">
        <v>0</v>
      </c>
      <c r="E81" s="96">
        <v>0</v>
      </c>
      <c r="F81" s="97">
        <v>6536.1</v>
      </c>
      <c r="G81" s="82">
        <v>270</v>
      </c>
      <c r="H81" s="98">
        <f t="shared" si="7"/>
        <v>-100</v>
      </c>
      <c r="I81" s="115"/>
      <c r="J81" s="85" t="s">
        <v>103</v>
      </c>
      <c r="K81" s="99" t="str">
        <f t="shared" si="8"/>
        <v/>
      </c>
      <c r="L81" s="87">
        <f t="shared" si="9"/>
        <v>-270</v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0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1">SUM(B58:B81)</f>
        <v>5471520</v>
      </c>
      <c r="C82" s="35">
        <f t="shared" si="11"/>
        <v>3443.63</v>
      </c>
      <c r="D82" s="35">
        <f t="shared" si="11"/>
        <v>564890.46000000008</v>
      </c>
      <c r="E82" s="35">
        <f t="shared" si="11"/>
        <v>4787.579999999999</v>
      </c>
      <c r="F82" s="101">
        <f t="shared" si="11"/>
        <v>37950.909999999996</v>
      </c>
      <c r="G82" s="35">
        <f t="shared" si="11"/>
        <v>6480</v>
      </c>
      <c r="H82" s="102"/>
      <c r="I82" s="103"/>
      <c r="J82" s="104"/>
      <c r="K82" s="105">
        <f>IFERROR(AVERAGE(K58:K81),"")</f>
        <v>9709.0296820543717</v>
      </c>
      <c r="L82" s="40">
        <f t="shared" ref="L82:U82" si="12">SUM(L58:L81)</f>
        <v>-1605.1000000000001</v>
      </c>
      <c r="M82" s="40">
        <f t="shared" si="12"/>
        <v>208.33</v>
      </c>
      <c r="N82" s="39">
        <f t="shared" si="12"/>
        <v>340.20999999999992</v>
      </c>
      <c r="O82" s="39">
        <f t="shared" si="12"/>
        <v>346.54999999999995</v>
      </c>
      <c r="P82" s="39">
        <f t="shared" si="12"/>
        <v>311.18000000000006</v>
      </c>
      <c r="Q82" s="39">
        <f t="shared" si="12"/>
        <v>322.49000000000007</v>
      </c>
      <c r="R82" s="39">
        <f t="shared" si="12"/>
        <v>219.87000000000003</v>
      </c>
      <c r="S82" s="39">
        <f t="shared" si="12"/>
        <v>305.59000000000003</v>
      </c>
      <c r="T82" s="39">
        <f t="shared" si="12"/>
        <v>404.94</v>
      </c>
      <c r="U82" s="118">
        <f t="shared" si="12"/>
        <v>2459.16</v>
      </c>
      <c r="V82" s="39">
        <f>+SUM(V58:V81)</f>
        <v>74.099999999999909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37950.909999999996</v>
      </c>
      <c r="J87" s="41"/>
      <c r="K87" s="62" t="s">
        <v>59</v>
      </c>
      <c r="L87" s="113">
        <v>30494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0.83333333333333337</v>
      </c>
      <c r="B88" s="57">
        <v>0</v>
      </c>
      <c r="C88" s="57">
        <v>0.16666666666666666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27627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>
        <f>IFERROR(3412.14/K82,"")</f>
        <v>0.35143985668380529</v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K90:L90"/>
    <mergeCell ref="B91:B92"/>
    <mergeCell ref="C91:I92"/>
    <mergeCell ref="K91:L91"/>
    <mergeCell ref="K92:L92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A85:A86"/>
    <mergeCell ref="B85:B86"/>
    <mergeCell ref="C85:C86"/>
    <mergeCell ref="D85:D86"/>
    <mergeCell ref="H85:I8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H41:H42"/>
    <mergeCell ref="I41:I42"/>
    <mergeCell ref="K44:L44"/>
    <mergeCell ref="C45:I46"/>
    <mergeCell ref="K45:L45"/>
    <mergeCell ref="K46:L46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A39:A40"/>
    <mergeCell ref="B39:B40"/>
    <mergeCell ref="C39:C40"/>
    <mergeCell ref="D39:D40"/>
    <mergeCell ref="H39:I40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1:C1"/>
    <mergeCell ref="D1:U2"/>
    <mergeCell ref="V1:X4"/>
    <mergeCell ref="A2:C2"/>
    <mergeCell ref="A3:C3"/>
    <mergeCell ref="D3:U4"/>
    <mergeCell ref="A4:C4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6768-7B0B-4B8B-937A-A1DCC47DBB7C}">
  <dimension ref="A1:Z109"/>
  <sheetViews>
    <sheetView zoomScale="85" zoomScaleNormal="85" workbookViewId="0">
      <selection activeCell="L87" sqref="L87:L88"/>
    </sheetView>
  </sheetViews>
  <sheetFormatPr baseColWidth="10" defaultColWidth="11.42578125" defaultRowHeight="15" x14ac:dyDescent="0.25"/>
  <cols>
    <col min="1" max="1" width="12.7109375" style="1" bestFit="1" customWidth="1"/>
    <col min="2" max="2" width="21.42578125" style="1" bestFit="1" customWidth="1"/>
    <col min="3" max="4" width="17.140625" style="1" customWidth="1"/>
    <col min="5" max="6" width="16.140625" style="1" customWidth="1"/>
    <col min="7" max="7" width="15.28515625" style="1" customWidth="1"/>
    <col min="8" max="8" width="12.85546875" style="1" bestFit="1" customWidth="1"/>
    <col min="9" max="9" width="12.85546875" style="1" customWidth="1"/>
    <col min="10" max="10" width="20.7109375" style="1" customWidth="1"/>
    <col min="11" max="11" width="14.140625" style="1" customWidth="1"/>
    <col min="12" max="12" width="20.140625" style="1" bestFit="1" customWidth="1"/>
    <col min="13" max="13" width="17.140625" style="1" customWidth="1"/>
    <col min="14" max="20" width="13.7109375" style="1" customWidth="1"/>
    <col min="21" max="21" width="13.42578125" style="1" bestFit="1" customWidth="1"/>
    <col min="22" max="22" width="13.140625" style="1" customWidth="1"/>
    <col min="23" max="24" width="17.85546875" style="1" bestFit="1" customWidth="1"/>
    <col min="25" max="25" width="12.28515625" style="1" bestFit="1" customWidth="1"/>
    <col min="26" max="26" width="11.42578125" style="1"/>
    <col min="27" max="27" width="11.85546875" style="1" bestFit="1" customWidth="1"/>
    <col min="28" max="16384" width="11.42578125" style="1"/>
  </cols>
  <sheetData>
    <row r="1" spans="1:24" ht="15.75" x14ac:dyDescent="0.25">
      <c r="A1" s="244" t="s">
        <v>0</v>
      </c>
      <c r="B1" s="245"/>
      <c r="C1" s="246"/>
      <c r="D1" s="247" t="s">
        <v>1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9"/>
      <c r="V1" s="253"/>
      <c r="W1" s="253"/>
      <c r="X1" s="254"/>
    </row>
    <row r="2" spans="1:24" ht="16.5" thickBot="1" x14ac:dyDescent="0.3">
      <c r="A2" s="259" t="s">
        <v>2</v>
      </c>
      <c r="B2" s="260"/>
      <c r="C2" s="261"/>
      <c r="D2" s="250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2"/>
      <c r="V2" s="255"/>
      <c r="W2" s="255"/>
      <c r="X2" s="256"/>
    </row>
    <row r="3" spans="1:24" ht="15.75" x14ac:dyDescent="0.25">
      <c r="A3" s="259" t="s">
        <v>3</v>
      </c>
      <c r="B3" s="260"/>
      <c r="C3" s="261"/>
      <c r="D3" s="247" t="s">
        <v>4</v>
      </c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9"/>
      <c r="V3" s="255"/>
      <c r="W3" s="255"/>
      <c r="X3" s="256"/>
    </row>
    <row r="4" spans="1:24" ht="16.5" thickBot="1" x14ac:dyDescent="0.3">
      <c r="A4" s="262" t="s">
        <v>5</v>
      </c>
      <c r="B4" s="263"/>
      <c r="C4" s="264"/>
      <c r="D4" s="250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2"/>
      <c r="V4" s="257"/>
      <c r="W4" s="257"/>
      <c r="X4" s="258"/>
    </row>
    <row r="5" spans="1:24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x14ac:dyDescent="0.25">
      <c r="A6" s="3" t="s">
        <v>6</v>
      </c>
      <c r="B6" s="4">
        <v>30</v>
      </c>
      <c r="C6" s="5" t="s">
        <v>7</v>
      </c>
      <c r="D6" s="235">
        <v>4</v>
      </c>
      <c r="E6" s="235"/>
      <c r="F6" s="5" t="s">
        <v>8</v>
      </c>
      <c r="G6" s="4">
        <v>2026</v>
      </c>
      <c r="H6" s="4"/>
      <c r="I6" s="6"/>
      <c r="J6" s="5" t="s">
        <v>9</v>
      </c>
      <c r="K6" s="5"/>
      <c r="L6" s="235" t="s">
        <v>82</v>
      </c>
      <c r="M6" s="235"/>
      <c r="N6" s="235"/>
      <c r="O6" s="235"/>
      <c r="P6" s="235"/>
      <c r="Q6" s="235"/>
      <c r="R6" s="6"/>
      <c r="S6" s="6"/>
      <c r="T6" s="6"/>
      <c r="U6" s="6"/>
      <c r="V6" s="6"/>
      <c r="W6" s="6"/>
      <c r="X6" s="7"/>
    </row>
    <row r="7" spans="1:24" ht="17.25" thickBot="1" x14ac:dyDescent="0.3">
      <c r="A7" s="8"/>
      <c r="B7" s="9"/>
      <c r="C7" s="10"/>
      <c r="D7" s="9"/>
      <c r="E7" s="9"/>
      <c r="F7" s="9"/>
      <c r="G7" s="10"/>
      <c r="H7" s="9"/>
      <c r="I7" s="9"/>
      <c r="J7" s="10"/>
      <c r="K7" s="9"/>
      <c r="L7" s="9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</row>
    <row r="8" spans="1:24" ht="18.75" thickBot="1" x14ac:dyDescent="0.3">
      <c r="A8" s="236" t="s">
        <v>10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8"/>
    </row>
    <row r="9" spans="1:24" ht="17.25" customHeight="1" thickBot="1" x14ac:dyDescent="0.3">
      <c r="A9" s="216" t="s">
        <v>11</v>
      </c>
      <c r="B9" s="206" t="s">
        <v>12</v>
      </c>
      <c r="C9" s="203" t="s">
        <v>13</v>
      </c>
      <c r="D9" s="208"/>
      <c r="E9" s="203" t="s">
        <v>14</v>
      </c>
      <c r="F9" s="208"/>
      <c r="G9" s="193" t="s">
        <v>14</v>
      </c>
      <c r="H9" s="203" t="s">
        <v>15</v>
      </c>
      <c r="I9" s="208"/>
      <c r="J9" s="214" t="s">
        <v>16</v>
      </c>
      <c r="K9" s="211" t="s">
        <v>17</v>
      </c>
      <c r="L9" s="188" t="s">
        <v>18</v>
      </c>
      <c r="M9" s="229" t="s">
        <v>19</v>
      </c>
      <c r="N9" s="231" t="s">
        <v>20</v>
      </c>
      <c r="O9" s="191" t="s">
        <v>21</v>
      </c>
      <c r="P9" s="232" t="s">
        <v>22</v>
      </c>
      <c r="Q9" s="233"/>
      <c r="R9" s="233"/>
      <c r="S9" s="233"/>
      <c r="T9" s="233"/>
      <c r="U9" s="233"/>
      <c r="V9" s="234"/>
      <c r="W9" s="211" t="s">
        <v>23</v>
      </c>
      <c r="X9" s="229" t="s">
        <v>24</v>
      </c>
    </row>
    <row r="10" spans="1:24" ht="16.5" x14ac:dyDescent="0.25">
      <c r="A10" s="239"/>
      <c r="B10" s="207"/>
      <c r="C10" s="15" t="s">
        <v>25</v>
      </c>
      <c r="D10" s="16" t="s">
        <v>26</v>
      </c>
      <c r="E10" s="16" t="s">
        <v>27</v>
      </c>
      <c r="F10" s="16" t="s">
        <v>28</v>
      </c>
      <c r="G10" s="240"/>
      <c r="H10" s="18" t="s">
        <v>29</v>
      </c>
      <c r="I10" s="18" t="s">
        <v>30</v>
      </c>
      <c r="J10" s="241"/>
      <c r="K10" s="212"/>
      <c r="L10" s="189"/>
      <c r="M10" s="230"/>
      <c r="N10" s="165"/>
      <c r="O10" s="192"/>
      <c r="P10" s="20" t="s">
        <v>31</v>
      </c>
      <c r="Q10" s="21" t="s">
        <v>32</v>
      </c>
      <c r="R10" s="21" t="s">
        <v>33</v>
      </c>
      <c r="S10" s="21" t="s">
        <v>34</v>
      </c>
      <c r="T10" s="22" t="s">
        <v>35</v>
      </c>
      <c r="U10" s="22" t="s">
        <v>36</v>
      </c>
      <c r="V10" s="23" t="s">
        <v>37</v>
      </c>
      <c r="W10" s="242"/>
      <c r="X10" s="243"/>
    </row>
    <row r="11" spans="1:24" ht="17.25" thickBot="1" x14ac:dyDescent="0.3">
      <c r="A11" s="217"/>
      <c r="B11" s="14" t="s">
        <v>38</v>
      </c>
      <c r="C11" s="24" t="s">
        <v>39</v>
      </c>
      <c r="D11" s="18" t="s">
        <v>40</v>
      </c>
      <c r="E11" s="18" t="s">
        <v>41</v>
      </c>
      <c r="F11" s="18" t="s">
        <v>41</v>
      </c>
      <c r="G11" s="17" t="s">
        <v>41</v>
      </c>
      <c r="H11" s="18" t="s">
        <v>38</v>
      </c>
      <c r="I11" s="18" t="s">
        <v>38</v>
      </c>
      <c r="J11" s="17" t="s">
        <v>42</v>
      </c>
      <c r="K11" s="24" t="s">
        <v>43</v>
      </c>
      <c r="L11" s="189"/>
      <c r="M11" s="230"/>
      <c r="N11" s="165"/>
      <c r="O11" s="19" t="s">
        <v>41</v>
      </c>
      <c r="P11" s="24" t="s">
        <v>44</v>
      </c>
      <c r="Q11" s="25" t="s">
        <v>44</v>
      </c>
      <c r="R11" s="25" t="s">
        <v>44</v>
      </c>
      <c r="S11" s="25" t="s">
        <v>44</v>
      </c>
      <c r="T11" s="18" t="s">
        <v>44</v>
      </c>
      <c r="U11" s="18" t="s">
        <v>44</v>
      </c>
      <c r="V11" s="23" t="s">
        <v>44</v>
      </c>
      <c r="W11" s="23" t="s">
        <v>44</v>
      </c>
      <c r="X11" s="26" t="s">
        <v>45</v>
      </c>
    </row>
    <row r="12" spans="1:24" ht="16.5" x14ac:dyDescent="0.3">
      <c r="A12" s="27">
        <v>1</v>
      </c>
      <c r="B12" s="28">
        <v>0</v>
      </c>
      <c r="C12" s="28">
        <v>1338.78</v>
      </c>
      <c r="D12" s="28">
        <v>0</v>
      </c>
      <c r="E12" s="28">
        <v>0</v>
      </c>
      <c r="F12" s="28">
        <v>0</v>
      </c>
      <c r="G12" s="28">
        <f>+E12+F12</f>
        <v>0</v>
      </c>
      <c r="H12" s="28">
        <v>800.56454400000007</v>
      </c>
      <c r="I12" s="28">
        <v>718.81</v>
      </c>
      <c r="J12" s="112">
        <v>0</v>
      </c>
      <c r="K12" s="28">
        <f t="shared" ref="K12:K35" si="0">IF(J12=0,0,100*(G12-J12)/J12)</f>
        <v>0</v>
      </c>
      <c r="L12" s="28"/>
      <c r="M12" s="28"/>
      <c r="N12" s="28" t="str">
        <f t="shared" ref="N12:N35" si="1">IFERROR(V12*1000*2.2*$K$46/G12/1000,"")</f>
        <v/>
      </c>
      <c r="O12" s="28" t="str">
        <f t="shared" ref="O12:O35" si="2">IF(OR(K12&gt;5,K12&lt;-5),G12-J12,"")</f>
        <v/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f>+SUM(P12:U12)</f>
        <v>0</v>
      </c>
      <c r="W12" s="28">
        <v>0</v>
      </c>
      <c r="X12" s="28">
        <v>0</v>
      </c>
    </row>
    <row r="13" spans="1:24" ht="16.5" x14ac:dyDescent="0.3">
      <c r="A13" s="30">
        <v>2</v>
      </c>
      <c r="B13" s="28">
        <v>0</v>
      </c>
      <c r="C13" s="28">
        <v>1334.8600000000001</v>
      </c>
      <c r="D13" s="28">
        <v>0</v>
      </c>
      <c r="E13" s="28">
        <v>0</v>
      </c>
      <c r="F13" s="28">
        <v>0</v>
      </c>
      <c r="G13" s="28">
        <f t="shared" ref="G13:G34" si="3">+E13+F13</f>
        <v>0</v>
      </c>
      <c r="H13" s="28">
        <v>769.48895200000004</v>
      </c>
      <c r="I13" s="28">
        <v>704.91</v>
      </c>
      <c r="J13" s="112">
        <v>0</v>
      </c>
      <c r="K13" s="28">
        <f t="shared" si="0"/>
        <v>0</v>
      </c>
      <c r="L13" s="28"/>
      <c r="M13" s="28"/>
      <c r="N13" s="28" t="str">
        <f t="shared" si="1"/>
        <v/>
      </c>
      <c r="O13" s="28" t="str">
        <f t="shared" si="2"/>
        <v/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f t="shared" ref="V13:V35" si="4">+SUM(P13:U13)</f>
        <v>0</v>
      </c>
      <c r="W13" s="28">
        <v>0</v>
      </c>
      <c r="X13" s="28">
        <v>0</v>
      </c>
    </row>
    <row r="14" spans="1:24" ht="16.5" x14ac:dyDescent="0.3">
      <c r="A14" s="30">
        <v>3</v>
      </c>
      <c r="B14" s="28">
        <v>0</v>
      </c>
      <c r="C14" s="28">
        <v>1337.1</v>
      </c>
      <c r="D14" s="28">
        <v>0</v>
      </c>
      <c r="E14" s="28">
        <v>0</v>
      </c>
      <c r="F14" s="28">
        <v>0</v>
      </c>
      <c r="G14" s="28">
        <f t="shared" si="3"/>
        <v>0</v>
      </c>
      <c r="H14" s="28">
        <v>771.65556299999992</v>
      </c>
      <c r="I14" s="28">
        <v>699.37</v>
      </c>
      <c r="J14" s="112">
        <v>0</v>
      </c>
      <c r="K14" s="28">
        <f t="shared" si="0"/>
        <v>0</v>
      </c>
      <c r="L14" s="28"/>
      <c r="M14" s="28"/>
      <c r="N14" s="28" t="str">
        <f t="shared" si="1"/>
        <v/>
      </c>
      <c r="O14" s="28" t="str">
        <f t="shared" si="2"/>
        <v/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f t="shared" si="4"/>
        <v>0</v>
      </c>
      <c r="W14" s="28">
        <v>0</v>
      </c>
      <c r="X14" s="28">
        <v>0</v>
      </c>
    </row>
    <row r="15" spans="1:24" ht="16.5" x14ac:dyDescent="0.3">
      <c r="A15" s="30">
        <v>4</v>
      </c>
      <c r="B15" s="28">
        <v>0</v>
      </c>
      <c r="C15" s="28">
        <v>1330.17</v>
      </c>
      <c r="D15" s="28">
        <v>0</v>
      </c>
      <c r="E15" s="28">
        <v>0</v>
      </c>
      <c r="F15" s="28">
        <v>0</v>
      </c>
      <c r="G15" s="28">
        <f t="shared" si="3"/>
        <v>0</v>
      </c>
      <c r="H15" s="28">
        <v>754.25732399999993</v>
      </c>
      <c r="I15" s="28">
        <v>685.75</v>
      </c>
      <c r="J15" s="112">
        <v>0</v>
      </c>
      <c r="K15" s="28">
        <f t="shared" si="0"/>
        <v>0</v>
      </c>
      <c r="L15" s="28"/>
      <c r="M15" s="28"/>
      <c r="N15" s="28" t="str">
        <f t="shared" si="1"/>
        <v/>
      </c>
      <c r="O15" s="28" t="str">
        <f t="shared" si="2"/>
        <v/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f t="shared" si="4"/>
        <v>0</v>
      </c>
      <c r="W15" s="28">
        <v>0</v>
      </c>
      <c r="X15" s="28">
        <v>0</v>
      </c>
    </row>
    <row r="16" spans="1:24" ht="16.5" customHeight="1" x14ac:dyDescent="0.3">
      <c r="A16" s="30">
        <v>5</v>
      </c>
      <c r="B16" s="28">
        <v>0</v>
      </c>
      <c r="C16" s="28">
        <v>1341.42</v>
      </c>
      <c r="D16" s="28">
        <v>0</v>
      </c>
      <c r="E16" s="28">
        <v>0</v>
      </c>
      <c r="F16" s="28">
        <v>0</v>
      </c>
      <c r="G16" s="28">
        <f t="shared" si="3"/>
        <v>0</v>
      </c>
      <c r="H16" s="28">
        <v>746.80763200000001</v>
      </c>
      <c r="I16" s="28">
        <v>677.33</v>
      </c>
      <c r="J16" s="112">
        <v>0</v>
      </c>
      <c r="K16" s="28">
        <f t="shared" si="0"/>
        <v>0</v>
      </c>
      <c r="L16" s="28"/>
      <c r="M16" s="28"/>
      <c r="N16" s="28" t="str">
        <f t="shared" si="1"/>
        <v/>
      </c>
      <c r="O16" s="28" t="str">
        <f t="shared" si="2"/>
        <v/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f t="shared" si="4"/>
        <v>0</v>
      </c>
      <c r="W16" s="28">
        <v>0</v>
      </c>
      <c r="X16" s="28">
        <v>0</v>
      </c>
    </row>
    <row r="17" spans="1:26" ht="16.5" x14ac:dyDescent="0.3">
      <c r="A17" s="30">
        <v>6</v>
      </c>
      <c r="B17" s="28">
        <v>0</v>
      </c>
      <c r="C17" s="28">
        <v>1339.51</v>
      </c>
      <c r="D17" s="28">
        <v>0</v>
      </c>
      <c r="E17" s="28">
        <v>0</v>
      </c>
      <c r="F17" s="28">
        <v>0</v>
      </c>
      <c r="G17" s="28">
        <f t="shared" si="3"/>
        <v>0</v>
      </c>
      <c r="H17" s="28">
        <v>750.89923099999999</v>
      </c>
      <c r="I17" s="28">
        <v>681.65</v>
      </c>
      <c r="J17" s="112">
        <v>0</v>
      </c>
      <c r="K17" s="28">
        <f t="shared" si="0"/>
        <v>0</v>
      </c>
      <c r="L17" s="28"/>
      <c r="M17" s="28"/>
      <c r="N17" s="28" t="str">
        <f t="shared" si="1"/>
        <v/>
      </c>
      <c r="O17" s="28" t="str">
        <f t="shared" si="2"/>
        <v/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f t="shared" si="4"/>
        <v>0</v>
      </c>
      <c r="W17" s="28">
        <v>0</v>
      </c>
      <c r="X17" s="28">
        <v>0</v>
      </c>
    </row>
    <row r="18" spans="1:26" ht="16.5" customHeight="1" x14ac:dyDescent="0.3">
      <c r="A18" s="30">
        <v>7</v>
      </c>
      <c r="B18" s="28">
        <v>0</v>
      </c>
      <c r="C18" s="28">
        <v>1296.82</v>
      </c>
      <c r="D18" s="28">
        <v>0</v>
      </c>
      <c r="E18" s="28">
        <v>0</v>
      </c>
      <c r="F18" s="28">
        <v>0</v>
      </c>
      <c r="G18" s="28">
        <f t="shared" si="3"/>
        <v>0</v>
      </c>
      <c r="H18" s="28">
        <v>752.750946</v>
      </c>
      <c r="I18" s="28">
        <v>695.07</v>
      </c>
      <c r="J18" s="112">
        <v>0</v>
      </c>
      <c r="K18" s="28">
        <f t="shared" si="0"/>
        <v>0</v>
      </c>
      <c r="L18" s="28"/>
      <c r="M18" s="28"/>
      <c r="N18" s="28" t="str">
        <f t="shared" si="1"/>
        <v/>
      </c>
      <c r="O18" s="28" t="str">
        <f t="shared" si="2"/>
        <v/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f t="shared" si="4"/>
        <v>0</v>
      </c>
      <c r="W18" s="28">
        <v>0</v>
      </c>
      <c r="X18" s="28">
        <v>0</v>
      </c>
    </row>
    <row r="19" spans="1:26" ht="16.5" customHeight="1" x14ac:dyDescent="0.3">
      <c r="A19" s="30">
        <v>8</v>
      </c>
      <c r="B19" s="28">
        <v>0</v>
      </c>
      <c r="C19" s="28">
        <v>1271.8000000000002</v>
      </c>
      <c r="D19" s="28">
        <v>0</v>
      </c>
      <c r="E19" s="28">
        <v>0</v>
      </c>
      <c r="F19" s="28">
        <v>0</v>
      </c>
      <c r="G19" s="28">
        <f t="shared" si="3"/>
        <v>0</v>
      </c>
      <c r="H19" s="28">
        <v>765.10006799999985</v>
      </c>
      <c r="I19" s="28">
        <v>706.11</v>
      </c>
      <c r="J19" s="112">
        <v>0</v>
      </c>
      <c r="K19" s="28">
        <f t="shared" si="0"/>
        <v>0</v>
      </c>
      <c r="L19" s="28"/>
      <c r="M19" s="28"/>
      <c r="N19" s="28" t="str">
        <f t="shared" si="1"/>
        <v/>
      </c>
      <c r="O19" s="28" t="str">
        <f t="shared" si="2"/>
        <v/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f t="shared" si="4"/>
        <v>0</v>
      </c>
      <c r="W19" s="28">
        <v>0</v>
      </c>
      <c r="X19" s="28">
        <v>0</v>
      </c>
    </row>
    <row r="20" spans="1:26" ht="16.5" customHeight="1" x14ac:dyDescent="0.3">
      <c r="A20" s="30">
        <v>9</v>
      </c>
      <c r="B20" s="28">
        <v>0</v>
      </c>
      <c r="C20" s="28">
        <v>1249.33</v>
      </c>
      <c r="D20" s="28">
        <v>0</v>
      </c>
      <c r="E20" s="28">
        <v>0</v>
      </c>
      <c r="F20" s="28">
        <v>0</v>
      </c>
      <c r="G20" s="28">
        <f t="shared" si="3"/>
        <v>0</v>
      </c>
      <c r="H20" s="28">
        <v>795.97569400000009</v>
      </c>
      <c r="I20" s="28">
        <v>726.25</v>
      </c>
      <c r="J20" s="112">
        <v>0</v>
      </c>
      <c r="K20" s="28">
        <f t="shared" si="0"/>
        <v>0</v>
      </c>
      <c r="L20" s="28"/>
      <c r="M20" s="28"/>
      <c r="N20" s="28" t="str">
        <f t="shared" si="1"/>
        <v/>
      </c>
      <c r="O20" s="28" t="str">
        <f t="shared" si="2"/>
        <v/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f t="shared" si="4"/>
        <v>0</v>
      </c>
      <c r="W20" s="28">
        <v>0</v>
      </c>
      <c r="X20" s="28">
        <v>0</v>
      </c>
    </row>
    <row r="21" spans="1:26" ht="16.5" x14ac:dyDescent="0.3">
      <c r="A21" s="30">
        <v>10</v>
      </c>
      <c r="B21" s="28">
        <v>0</v>
      </c>
      <c r="C21" s="28">
        <v>1435.72</v>
      </c>
      <c r="D21" s="28">
        <v>0</v>
      </c>
      <c r="E21" s="28">
        <v>0</v>
      </c>
      <c r="F21" s="28">
        <v>0</v>
      </c>
      <c r="G21" s="28">
        <f t="shared" si="3"/>
        <v>0</v>
      </c>
      <c r="H21" s="28">
        <v>619.72932399999991</v>
      </c>
      <c r="I21" s="28">
        <v>508.92</v>
      </c>
      <c r="J21" s="112">
        <v>0</v>
      </c>
      <c r="K21" s="28">
        <f t="shared" si="0"/>
        <v>0</v>
      </c>
      <c r="L21" s="28"/>
      <c r="M21" s="28"/>
      <c r="N21" s="28" t="str">
        <f t="shared" si="1"/>
        <v/>
      </c>
      <c r="O21" s="28" t="str">
        <f t="shared" si="2"/>
        <v/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f t="shared" si="4"/>
        <v>0</v>
      </c>
      <c r="W21" s="28">
        <v>0</v>
      </c>
      <c r="X21" s="28">
        <v>0</v>
      </c>
    </row>
    <row r="22" spans="1:26" ht="16.5" x14ac:dyDescent="0.3">
      <c r="A22" s="30">
        <v>11</v>
      </c>
      <c r="B22" s="28">
        <v>0</v>
      </c>
      <c r="C22" s="28">
        <v>1580</v>
      </c>
      <c r="D22" s="28">
        <v>0</v>
      </c>
      <c r="E22" s="28">
        <v>0</v>
      </c>
      <c r="F22" s="28">
        <v>0</v>
      </c>
      <c r="G22" s="28">
        <f t="shared" si="3"/>
        <v>0</v>
      </c>
      <c r="H22" s="28">
        <v>476.37957800000004</v>
      </c>
      <c r="I22" s="28">
        <v>370.3</v>
      </c>
      <c r="J22" s="112">
        <v>0</v>
      </c>
      <c r="K22" s="28">
        <f t="shared" si="0"/>
        <v>0</v>
      </c>
      <c r="L22" s="28"/>
      <c r="M22" s="28"/>
      <c r="N22" s="28" t="str">
        <f t="shared" si="1"/>
        <v/>
      </c>
      <c r="O22" s="28" t="str">
        <f t="shared" si="2"/>
        <v/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f t="shared" si="4"/>
        <v>0</v>
      </c>
      <c r="W22" s="28">
        <v>0</v>
      </c>
      <c r="X22" s="28">
        <v>0</v>
      </c>
    </row>
    <row r="23" spans="1:26" ht="16.5" x14ac:dyDescent="0.3">
      <c r="A23" s="30">
        <v>12</v>
      </c>
      <c r="B23" s="28">
        <v>0</v>
      </c>
      <c r="C23" s="28">
        <v>1658.16</v>
      </c>
      <c r="D23" s="28">
        <v>0</v>
      </c>
      <c r="E23" s="28">
        <v>0</v>
      </c>
      <c r="F23" s="28">
        <v>0</v>
      </c>
      <c r="G23" s="28">
        <f t="shared" si="3"/>
        <v>0</v>
      </c>
      <c r="H23" s="28">
        <v>361.77655099999998</v>
      </c>
      <c r="I23" s="28">
        <v>309.89</v>
      </c>
      <c r="J23" s="112">
        <v>0</v>
      </c>
      <c r="K23" s="28">
        <f t="shared" si="0"/>
        <v>0</v>
      </c>
      <c r="L23" s="28"/>
      <c r="M23" s="28"/>
      <c r="N23" s="28" t="str">
        <f t="shared" si="1"/>
        <v/>
      </c>
      <c r="O23" s="28" t="str">
        <f t="shared" si="2"/>
        <v/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f t="shared" si="4"/>
        <v>0</v>
      </c>
      <c r="W23" s="28">
        <v>0</v>
      </c>
      <c r="X23" s="28">
        <v>0</v>
      </c>
    </row>
    <row r="24" spans="1:26" ht="16.5" x14ac:dyDescent="0.3">
      <c r="A24" s="30">
        <v>13</v>
      </c>
      <c r="B24" s="28">
        <v>0</v>
      </c>
      <c r="C24" s="28">
        <v>1639.07</v>
      </c>
      <c r="D24" s="28">
        <v>0</v>
      </c>
      <c r="E24" s="28">
        <v>0</v>
      </c>
      <c r="F24" s="28">
        <v>0</v>
      </c>
      <c r="G24" s="28">
        <f t="shared" si="3"/>
        <v>0</v>
      </c>
      <c r="H24" s="28">
        <v>396.01484600000003</v>
      </c>
      <c r="I24" s="28">
        <v>334.2</v>
      </c>
      <c r="J24" s="112">
        <v>0</v>
      </c>
      <c r="K24" s="28">
        <f t="shared" si="0"/>
        <v>0</v>
      </c>
      <c r="L24" s="28"/>
      <c r="M24" s="28"/>
      <c r="N24" s="28" t="str">
        <f t="shared" si="1"/>
        <v/>
      </c>
      <c r="O24" s="28" t="str">
        <f t="shared" si="2"/>
        <v/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f t="shared" si="4"/>
        <v>0</v>
      </c>
      <c r="W24" s="28">
        <v>0</v>
      </c>
      <c r="X24" s="28">
        <v>0</v>
      </c>
    </row>
    <row r="25" spans="1:26" ht="16.5" x14ac:dyDescent="0.3">
      <c r="A25" s="30">
        <v>14</v>
      </c>
      <c r="B25" s="28">
        <v>0</v>
      </c>
      <c r="C25" s="28">
        <v>1681.46</v>
      </c>
      <c r="D25" s="28">
        <v>0</v>
      </c>
      <c r="E25" s="28">
        <v>0</v>
      </c>
      <c r="F25" s="28">
        <v>0</v>
      </c>
      <c r="G25" s="28">
        <f t="shared" si="3"/>
        <v>0</v>
      </c>
      <c r="H25" s="28">
        <v>387.52879300000001</v>
      </c>
      <c r="I25" s="28">
        <v>322.39</v>
      </c>
      <c r="J25" s="112">
        <v>0</v>
      </c>
      <c r="K25" s="28">
        <f t="shared" si="0"/>
        <v>0</v>
      </c>
      <c r="L25" s="28"/>
      <c r="M25" s="28"/>
      <c r="N25" s="28" t="str">
        <f t="shared" si="1"/>
        <v/>
      </c>
      <c r="O25" s="28" t="str">
        <f t="shared" si="2"/>
        <v/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f t="shared" si="4"/>
        <v>0</v>
      </c>
      <c r="W25" s="28">
        <v>0</v>
      </c>
      <c r="X25" s="28">
        <v>0</v>
      </c>
    </row>
    <row r="26" spans="1:26" ht="16.5" x14ac:dyDescent="0.3">
      <c r="A26" s="30">
        <v>15</v>
      </c>
      <c r="B26" s="28">
        <v>0</v>
      </c>
      <c r="C26" s="28">
        <v>1743.47</v>
      </c>
      <c r="D26" s="28">
        <v>0</v>
      </c>
      <c r="E26" s="28">
        <v>0</v>
      </c>
      <c r="F26" s="28">
        <v>0</v>
      </c>
      <c r="G26" s="28">
        <f t="shared" si="3"/>
        <v>0</v>
      </c>
      <c r="H26" s="28">
        <v>376.01326799999998</v>
      </c>
      <c r="I26" s="28">
        <v>308.64999999999998</v>
      </c>
      <c r="J26" s="112">
        <v>0</v>
      </c>
      <c r="K26" s="28">
        <f t="shared" si="0"/>
        <v>0</v>
      </c>
      <c r="L26" s="28"/>
      <c r="M26" s="28"/>
      <c r="N26" s="28" t="str">
        <f t="shared" si="1"/>
        <v/>
      </c>
      <c r="O26" s="28" t="str">
        <f t="shared" si="2"/>
        <v/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f t="shared" si="4"/>
        <v>0</v>
      </c>
      <c r="W26" s="28">
        <v>0</v>
      </c>
      <c r="X26" s="28">
        <v>0</v>
      </c>
    </row>
    <row r="27" spans="1:26" ht="16.5" x14ac:dyDescent="0.3">
      <c r="A27" s="30">
        <v>16</v>
      </c>
      <c r="B27" s="28">
        <v>0</v>
      </c>
      <c r="C27" s="28">
        <v>1748.1</v>
      </c>
      <c r="D27" s="28">
        <v>0</v>
      </c>
      <c r="E27" s="28">
        <v>0</v>
      </c>
      <c r="F27" s="28">
        <v>0</v>
      </c>
      <c r="G27" s="28">
        <f t="shared" si="3"/>
        <v>0</v>
      </c>
      <c r="H27" s="28">
        <v>359.776794</v>
      </c>
      <c r="I27" s="28">
        <v>303.66000000000003</v>
      </c>
      <c r="J27" s="112">
        <v>0</v>
      </c>
      <c r="K27" s="28">
        <f t="shared" si="0"/>
        <v>0</v>
      </c>
      <c r="L27" s="28"/>
      <c r="M27" s="28"/>
      <c r="N27" s="28" t="str">
        <f t="shared" si="1"/>
        <v/>
      </c>
      <c r="O27" s="28" t="str">
        <f t="shared" si="2"/>
        <v/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f t="shared" si="4"/>
        <v>0</v>
      </c>
      <c r="W27" s="28">
        <v>0</v>
      </c>
      <c r="X27" s="28">
        <v>0</v>
      </c>
    </row>
    <row r="28" spans="1:26" ht="16.5" x14ac:dyDescent="0.3">
      <c r="A28" s="30">
        <v>17</v>
      </c>
      <c r="B28" s="28">
        <v>0</v>
      </c>
      <c r="C28" s="28">
        <v>1750.13</v>
      </c>
      <c r="D28" s="28">
        <v>0</v>
      </c>
      <c r="E28" s="28">
        <v>0</v>
      </c>
      <c r="F28" s="28">
        <v>0</v>
      </c>
      <c r="G28" s="28">
        <f t="shared" si="3"/>
        <v>0</v>
      </c>
      <c r="H28" s="28">
        <v>357.81862699999999</v>
      </c>
      <c r="I28" s="28">
        <v>298.37</v>
      </c>
      <c r="J28" s="112">
        <v>0</v>
      </c>
      <c r="K28" s="28">
        <f t="shared" si="0"/>
        <v>0</v>
      </c>
      <c r="L28" s="28"/>
      <c r="M28" s="28"/>
      <c r="N28" s="28" t="str">
        <f t="shared" si="1"/>
        <v/>
      </c>
      <c r="O28" s="28" t="str">
        <f t="shared" si="2"/>
        <v/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f t="shared" si="4"/>
        <v>0</v>
      </c>
      <c r="W28" s="28">
        <v>0</v>
      </c>
      <c r="X28" s="28">
        <v>0</v>
      </c>
    </row>
    <row r="29" spans="1:26" ht="16.5" x14ac:dyDescent="0.3">
      <c r="A29" s="30">
        <v>18</v>
      </c>
      <c r="B29" s="28">
        <v>0</v>
      </c>
      <c r="C29" s="28">
        <v>1775.8400000000001</v>
      </c>
      <c r="D29" s="28">
        <v>0</v>
      </c>
      <c r="E29" s="28">
        <v>0</v>
      </c>
      <c r="F29" s="28">
        <v>0</v>
      </c>
      <c r="G29" s="28">
        <f t="shared" si="3"/>
        <v>0</v>
      </c>
      <c r="H29" s="28">
        <v>333.43671499999999</v>
      </c>
      <c r="I29" s="28">
        <v>274.37</v>
      </c>
      <c r="J29" s="112">
        <v>0</v>
      </c>
      <c r="K29" s="28">
        <f t="shared" si="0"/>
        <v>0</v>
      </c>
      <c r="L29" s="28"/>
      <c r="M29" s="28"/>
      <c r="N29" s="28" t="str">
        <f t="shared" si="1"/>
        <v/>
      </c>
      <c r="O29" s="28" t="str">
        <f t="shared" si="2"/>
        <v/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f t="shared" si="4"/>
        <v>0</v>
      </c>
      <c r="W29" s="28">
        <v>0</v>
      </c>
      <c r="X29" s="28">
        <v>0</v>
      </c>
    </row>
    <row r="30" spans="1:26" s="32" customFormat="1" ht="16.5" x14ac:dyDescent="0.3">
      <c r="A30" s="31">
        <v>19</v>
      </c>
      <c r="B30" s="28">
        <v>0</v>
      </c>
      <c r="C30" s="28">
        <v>1802.68</v>
      </c>
      <c r="D30" s="28">
        <v>0</v>
      </c>
      <c r="E30" s="28">
        <v>0</v>
      </c>
      <c r="F30" s="28">
        <v>0</v>
      </c>
      <c r="G30" s="28">
        <f t="shared" si="3"/>
        <v>0</v>
      </c>
      <c r="H30" s="28">
        <v>327.79145700000004</v>
      </c>
      <c r="I30" s="28">
        <v>265.41000000000003</v>
      </c>
      <c r="J30" s="112">
        <v>0</v>
      </c>
      <c r="K30" s="28">
        <f t="shared" si="0"/>
        <v>0</v>
      </c>
      <c r="L30" s="28"/>
      <c r="M30" s="28"/>
      <c r="N30" s="28" t="str">
        <f t="shared" si="1"/>
        <v/>
      </c>
      <c r="O30" s="28" t="str">
        <f t="shared" si="2"/>
        <v/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f t="shared" si="4"/>
        <v>0</v>
      </c>
      <c r="W30" s="28">
        <v>0</v>
      </c>
      <c r="X30" s="28">
        <v>0</v>
      </c>
      <c r="Y30" s="1"/>
      <c r="Z30" s="1"/>
    </row>
    <row r="31" spans="1:26" ht="16.5" x14ac:dyDescent="0.3">
      <c r="A31" s="30">
        <v>20</v>
      </c>
      <c r="B31" s="28">
        <v>0</v>
      </c>
      <c r="C31" s="28">
        <v>1799.58</v>
      </c>
      <c r="D31" s="28">
        <v>0</v>
      </c>
      <c r="E31" s="28">
        <v>0</v>
      </c>
      <c r="F31" s="28">
        <v>0</v>
      </c>
      <c r="G31" s="28">
        <f t="shared" si="3"/>
        <v>0</v>
      </c>
      <c r="H31" s="28">
        <v>313.96815500000002</v>
      </c>
      <c r="I31" s="28">
        <v>251.67</v>
      </c>
      <c r="J31" s="112">
        <v>0</v>
      </c>
      <c r="K31" s="28">
        <f t="shared" si="0"/>
        <v>0</v>
      </c>
      <c r="L31" s="28"/>
      <c r="M31" s="28"/>
      <c r="N31" s="28" t="str">
        <f t="shared" si="1"/>
        <v/>
      </c>
      <c r="O31" s="28" t="str">
        <f t="shared" si="2"/>
        <v/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f t="shared" si="4"/>
        <v>0</v>
      </c>
      <c r="W31" s="28">
        <v>0</v>
      </c>
      <c r="X31" s="28">
        <v>0</v>
      </c>
    </row>
    <row r="32" spans="1:26" s="32" customFormat="1" ht="16.5" x14ac:dyDescent="0.3">
      <c r="A32" s="31">
        <v>21</v>
      </c>
      <c r="B32" s="28">
        <v>0</v>
      </c>
      <c r="C32" s="28">
        <v>1784.4499999999998</v>
      </c>
      <c r="D32" s="28">
        <v>0</v>
      </c>
      <c r="E32" s="28">
        <v>0</v>
      </c>
      <c r="F32" s="28">
        <v>0</v>
      </c>
      <c r="G32" s="28">
        <f t="shared" si="3"/>
        <v>0</v>
      </c>
      <c r="H32" s="28">
        <v>305.36551599999996</v>
      </c>
      <c r="I32" s="28">
        <v>240.79</v>
      </c>
      <c r="J32" s="112">
        <v>0</v>
      </c>
      <c r="K32" s="28">
        <f t="shared" si="0"/>
        <v>0</v>
      </c>
      <c r="L32" s="28"/>
      <c r="M32" s="28"/>
      <c r="N32" s="28" t="str">
        <f t="shared" si="1"/>
        <v/>
      </c>
      <c r="O32" s="28" t="str">
        <f t="shared" si="2"/>
        <v/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f t="shared" si="4"/>
        <v>0</v>
      </c>
      <c r="W32" s="28">
        <v>0</v>
      </c>
      <c r="X32" s="28">
        <v>0</v>
      </c>
      <c r="Y32" s="1"/>
      <c r="Z32" s="1"/>
    </row>
    <row r="33" spans="1:26" ht="16.5" x14ac:dyDescent="0.3">
      <c r="A33" s="30">
        <v>22</v>
      </c>
      <c r="B33" s="28">
        <v>0</v>
      </c>
      <c r="C33" s="28">
        <v>1791.25</v>
      </c>
      <c r="D33" s="28">
        <v>0</v>
      </c>
      <c r="E33" s="28">
        <v>0</v>
      </c>
      <c r="F33" s="28">
        <v>0</v>
      </c>
      <c r="G33" s="28">
        <f t="shared" si="3"/>
        <v>0</v>
      </c>
      <c r="H33" s="28">
        <v>308.17066899999998</v>
      </c>
      <c r="I33" s="28">
        <v>237.72</v>
      </c>
      <c r="J33" s="112">
        <v>0</v>
      </c>
      <c r="K33" s="28">
        <f t="shared" si="0"/>
        <v>0</v>
      </c>
      <c r="L33" s="28"/>
      <c r="M33" s="28"/>
      <c r="N33" s="28" t="str">
        <f t="shared" si="1"/>
        <v/>
      </c>
      <c r="O33" s="28" t="str">
        <f t="shared" si="2"/>
        <v/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f t="shared" si="4"/>
        <v>0</v>
      </c>
      <c r="W33" s="28">
        <v>0</v>
      </c>
      <c r="X33" s="28">
        <v>0</v>
      </c>
    </row>
    <row r="34" spans="1:26" ht="16.5" x14ac:dyDescent="0.3">
      <c r="A34" s="30">
        <v>23</v>
      </c>
      <c r="B34" s="28">
        <v>0</v>
      </c>
      <c r="C34" s="28">
        <v>1770.44</v>
      </c>
      <c r="D34" s="28">
        <v>0</v>
      </c>
      <c r="E34" s="28">
        <v>0</v>
      </c>
      <c r="F34" s="28">
        <v>0</v>
      </c>
      <c r="G34" s="28">
        <f t="shared" si="3"/>
        <v>0</v>
      </c>
      <c r="H34" s="28">
        <v>303.69986699999998</v>
      </c>
      <c r="I34" s="28">
        <v>228.19</v>
      </c>
      <c r="J34" s="112">
        <v>0</v>
      </c>
      <c r="K34" s="28">
        <f t="shared" si="0"/>
        <v>0</v>
      </c>
      <c r="L34" s="28"/>
      <c r="M34" s="28"/>
      <c r="N34" s="28" t="str">
        <f t="shared" si="1"/>
        <v/>
      </c>
      <c r="O34" s="28" t="str">
        <f t="shared" si="2"/>
        <v/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f t="shared" si="4"/>
        <v>0</v>
      </c>
      <c r="W34" s="28">
        <v>0</v>
      </c>
      <c r="X34" s="28">
        <v>0</v>
      </c>
    </row>
    <row r="35" spans="1:26" ht="17.25" customHeight="1" thickBot="1" x14ac:dyDescent="0.35">
      <c r="A35" s="33">
        <v>24</v>
      </c>
      <c r="B35" s="28">
        <v>0</v>
      </c>
      <c r="C35" s="28">
        <v>1773.69</v>
      </c>
      <c r="D35" s="28">
        <v>0</v>
      </c>
      <c r="E35" s="28">
        <v>0</v>
      </c>
      <c r="F35" s="28">
        <v>0</v>
      </c>
      <c r="G35" s="28">
        <f>+E35+F35</f>
        <v>0</v>
      </c>
      <c r="H35" s="28">
        <v>304.50163299999997</v>
      </c>
      <c r="I35" s="28">
        <v>227.12</v>
      </c>
      <c r="J35" s="112">
        <v>0</v>
      </c>
      <c r="K35" s="116">
        <f t="shared" si="0"/>
        <v>0</v>
      </c>
      <c r="L35" s="28"/>
      <c r="M35" s="28"/>
      <c r="N35" s="28" t="str">
        <f t="shared" si="1"/>
        <v/>
      </c>
      <c r="O35" s="28" t="str">
        <f t="shared" si="2"/>
        <v/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f t="shared" si="4"/>
        <v>0</v>
      </c>
      <c r="W35" s="28">
        <v>0</v>
      </c>
      <c r="X35" s="28">
        <v>0</v>
      </c>
    </row>
    <row r="36" spans="1:26" ht="17.25" thickBot="1" x14ac:dyDescent="0.3">
      <c r="A36" s="34" t="s">
        <v>46</v>
      </c>
      <c r="B36" s="35">
        <f>+SUM(B12:B35)</f>
        <v>0</v>
      </c>
      <c r="C36" s="35">
        <f t="shared" ref="C36:J36" si="5">SUM(C12:C35)</f>
        <v>37573.83</v>
      </c>
      <c r="D36" s="35">
        <f t="shared" si="5"/>
        <v>0</v>
      </c>
      <c r="E36" s="35">
        <f t="shared" si="5"/>
        <v>0</v>
      </c>
      <c r="F36" s="35">
        <f t="shared" si="5"/>
        <v>0</v>
      </c>
      <c r="G36" s="35">
        <f t="shared" si="5"/>
        <v>0</v>
      </c>
      <c r="H36" s="35">
        <f t="shared" si="5"/>
        <v>12439.471746999998</v>
      </c>
      <c r="I36" s="35">
        <f t="shared" si="5"/>
        <v>10776.900000000003</v>
      </c>
      <c r="J36" s="35">
        <f t="shared" si="5"/>
        <v>0</v>
      </c>
      <c r="K36" s="36"/>
      <c r="L36" s="37"/>
      <c r="M36" s="38"/>
      <c r="N36" s="35" t="str">
        <f>IFERROR(AVERAGE(N12:N35),"")</f>
        <v/>
      </c>
      <c r="O36" s="39">
        <f t="shared" ref="O36:U36" si="6">SUM(O12:O35)</f>
        <v>0</v>
      </c>
      <c r="P36" s="39">
        <f t="shared" si="6"/>
        <v>0</v>
      </c>
      <c r="Q36" s="39">
        <f t="shared" si="6"/>
        <v>0</v>
      </c>
      <c r="R36" s="39">
        <f t="shared" si="6"/>
        <v>0</v>
      </c>
      <c r="S36" s="39">
        <f t="shared" si="6"/>
        <v>0</v>
      </c>
      <c r="T36" s="39">
        <f t="shared" si="6"/>
        <v>0</v>
      </c>
      <c r="U36" s="39">
        <f t="shared" si="6"/>
        <v>0</v>
      </c>
      <c r="V36" s="39">
        <f>SUM(V12:V35)</f>
        <v>0</v>
      </c>
      <c r="W36" s="40">
        <f>SUM(W12:W35)</f>
        <v>0</v>
      </c>
      <c r="X36" s="40">
        <v>0</v>
      </c>
    </row>
    <row r="37" spans="1:26" ht="16.5" x14ac:dyDescent="0.25">
      <c r="A37" s="41"/>
      <c r="B37" s="41"/>
      <c r="C37" s="41"/>
      <c r="D37" s="41"/>
      <c r="E37" s="41"/>
      <c r="F37" s="41"/>
      <c r="G37" s="42"/>
      <c r="H37" s="41"/>
      <c r="I37" s="41"/>
      <c r="J37" s="42"/>
      <c r="K37" s="41"/>
      <c r="L37" s="41"/>
      <c r="M37" s="41"/>
      <c r="N37" s="41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4"/>
      <c r="Z37" s="44"/>
    </row>
    <row r="38" spans="1:26" ht="17.25" thickBot="1" x14ac:dyDescent="0.3">
      <c r="A38" s="41"/>
      <c r="B38" s="41"/>
      <c r="C38" s="41"/>
      <c r="D38" s="41"/>
      <c r="E38" s="41"/>
      <c r="F38" s="45"/>
      <c r="G38" s="42"/>
      <c r="H38" s="41"/>
      <c r="I38" s="41"/>
      <c r="J38" s="41"/>
      <c r="K38" s="41"/>
      <c r="L38" s="41"/>
      <c r="M38" s="46"/>
      <c r="N38" s="46"/>
      <c r="O38" s="41"/>
      <c r="P38" s="43"/>
      <c r="Q38" s="43"/>
      <c r="R38" s="43"/>
      <c r="S38" s="43"/>
      <c r="T38" s="43"/>
      <c r="U38" s="43"/>
      <c r="V38" s="43"/>
      <c r="W38" s="47"/>
      <c r="X38" s="47"/>
    </row>
    <row r="39" spans="1:26" ht="17.25" customHeight="1" thickBot="1" x14ac:dyDescent="0.3">
      <c r="A39" s="198" t="s">
        <v>47</v>
      </c>
      <c r="B39" s="198" t="s">
        <v>48</v>
      </c>
      <c r="C39" s="198" t="s">
        <v>49</v>
      </c>
      <c r="D39" s="198" t="s">
        <v>50</v>
      </c>
      <c r="E39" s="48"/>
      <c r="F39" s="48">
        <v>33</v>
      </c>
      <c r="G39" s="41"/>
      <c r="H39" s="176" t="s">
        <v>51</v>
      </c>
      <c r="I39" s="177"/>
      <c r="J39" s="46"/>
      <c r="K39" s="214" t="s">
        <v>52</v>
      </c>
      <c r="L39" s="191"/>
      <c r="M39" s="41"/>
      <c r="N39" s="180" t="s">
        <v>53</v>
      </c>
      <c r="O39" s="183"/>
      <c r="P39" s="168"/>
      <c r="Q39" s="168"/>
      <c r="R39" s="168"/>
      <c r="S39" s="169"/>
      <c r="T39" s="49"/>
      <c r="U39" s="49"/>
      <c r="V39" s="49"/>
      <c r="W39" s="50" t="s">
        <v>54</v>
      </c>
      <c r="X39" s="51">
        <v>0</v>
      </c>
    </row>
    <row r="40" spans="1:26" ht="17.25" customHeight="1" thickBot="1" x14ac:dyDescent="0.3">
      <c r="A40" s="189"/>
      <c r="B40" s="189"/>
      <c r="C40" s="189"/>
      <c r="D40" s="189"/>
      <c r="E40" s="48"/>
      <c r="F40" s="48">
        <v>44</v>
      </c>
      <c r="G40" s="41" t="s">
        <v>55</v>
      </c>
      <c r="H40" s="164"/>
      <c r="I40" s="179"/>
      <c r="J40" s="46"/>
      <c r="K40" s="228"/>
      <c r="L40" s="192"/>
      <c r="M40" s="41"/>
      <c r="N40" s="181"/>
      <c r="O40" s="184"/>
      <c r="P40" s="185"/>
      <c r="Q40" s="185"/>
      <c r="R40" s="185"/>
      <c r="S40" s="186"/>
      <c r="T40" s="49"/>
      <c r="U40" s="49"/>
      <c r="V40" s="49"/>
      <c r="W40" s="52" t="s">
        <v>56</v>
      </c>
      <c r="X40" s="51">
        <f>X36</f>
        <v>0</v>
      </c>
    </row>
    <row r="41" spans="1:26" ht="16.5" customHeight="1" thickBot="1" x14ac:dyDescent="0.3">
      <c r="A41" s="53" t="s">
        <v>57</v>
      </c>
      <c r="B41" s="53" t="s">
        <v>57</v>
      </c>
      <c r="C41" s="53" t="s">
        <v>57</v>
      </c>
      <c r="D41" s="53" t="s">
        <v>57</v>
      </c>
      <c r="E41" s="54"/>
      <c r="F41" s="54" t="s">
        <v>58</v>
      </c>
      <c r="G41" s="41"/>
      <c r="H41" s="216" t="s">
        <v>59</v>
      </c>
      <c r="I41" s="218">
        <f>+H36+I36</f>
        <v>23216.371747000001</v>
      </c>
      <c r="J41" s="41"/>
      <c r="K41" s="13" t="s">
        <v>59</v>
      </c>
      <c r="L41" s="113">
        <v>23244</v>
      </c>
      <c r="M41" s="41"/>
      <c r="N41" s="182"/>
      <c r="O41" s="187"/>
      <c r="P41" s="170"/>
      <c r="Q41" s="170"/>
      <c r="R41" s="170"/>
      <c r="S41" s="171"/>
      <c r="T41" s="41"/>
      <c r="U41" s="41"/>
      <c r="V41" s="41"/>
      <c r="W41" s="41"/>
      <c r="X41" s="41"/>
    </row>
    <row r="42" spans="1:26" ht="17.25" thickBot="1" x14ac:dyDescent="0.3">
      <c r="A42" s="56">
        <v>0</v>
      </c>
      <c r="B42" s="57">
        <v>0</v>
      </c>
      <c r="C42" s="57">
        <v>0</v>
      </c>
      <c r="D42" s="57">
        <v>1</v>
      </c>
      <c r="E42" s="58"/>
      <c r="F42" s="58"/>
      <c r="G42" s="41"/>
      <c r="H42" s="217"/>
      <c r="I42" s="219"/>
      <c r="J42" s="41"/>
      <c r="K42" s="59" t="s">
        <v>60</v>
      </c>
      <c r="L42" s="114">
        <v>6326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61"/>
    </row>
    <row r="43" spans="1:26" ht="17.25" thickBo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6" ht="16.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214" t="s">
        <v>61</v>
      </c>
      <c r="L44" s="191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6" ht="17.25" thickBot="1" x14ac:dyDescent="0.3">
      <c r="A45" s="41"/>
      <c r="B45" s="62" t="s">
        <v>53</v>
      </c>
      <c r="C45" s="220" t="s">
        <v>62</v>
      </c>
      <c r="D45" s="220"/>
      <c r="E45" s="220"/>
      <c r="F45" s="220"/>
      <c r="G45" s="220"/>
      <c r="H45" s="220"/>
      <c r="I45" s="221"/>
      <c r="J45" s="41"/>
      <c r="K45" s="224"/>
      <c r="L45" s="225"/>
      <c r="M45" s="46"/>
      <c r="N45" s="41"/>
      <c r="O45" s="42"/>
      <c r="P45" s="41"/>
      <c r="Q45" s="41"/>
      <c r="R45" s="41"/>
      <c r="S45" s="41"/>
      <c r="T45" s="41"/>
      <c r="U45" s="41"/>
      <c r="V45" s="41"/>
      <c r="W45" s="41"/>
      <c r="X45" s="41"/>
    </row>
    <row r="46" spans="1:26" ht="17.25" thickBot="1" x14ac:dyDescent="0.3">
      <c r="A46" s="41"/>
      <c r="B46" s="63"/>
      <c r="C46" s="222"/>
      <c r="D46" s="222"/>
      <c r="E46" s="222"/>
      <c r="F46" s="222"/>
      <c r="G46" s="222"/>
      <c r="H46" s="222"/>
      <c r="I46" s="223"/>
      <c r="J46" s="41"/>
      <c r="K46" s="226">
        <v>8234</v>
      </c>
      <c r="L46" s="22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64" t="s">
        <v>63</v>
      </c>
      <c r="L47" s="65" t="str">
        <f>IFERROR(3412.14/N36,"")</f>
        <v/>
      </c>
      <c r="M47" s="2"/>
      <c r="N47" s="2"/>
      <c r="O47" s="2"/>
      <c r="P47" s="66"/>
      <c r="Q47" s="2"/>
      <c r="R47" s="2"/>
      <c r="S47" s="2"/>
      <c r="T47" s="2"/>
      <c r="U47" s="2"/>
      <c r="V47" s="2"/>
      <c r="W47" s="2"/>
      <c r="X47" s="2"/>
    </row>
    <row r="48" spans="1:26" ht="16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6" ht="16.5" x14ac:dyDescent="0.25">
      <c r="A52" s="67" t="s">
        <v>6</v>
      </c>
      <c r="B52" s="4">
        <f>+B6</f>
        <v>30</v>
      </c>
      <c r="C52" s="5" t="s">
        <v>7</v>
      </c>
      <c r="D52" s="4">
        <f>D6</f>
        <v>4</v>
      </c>
      <c r="E52" s="4"/>
      <c r="F52" s="5" t="s">
        <v>8</v>
      </c>
      <c r="G52" s="4">
        <f>+G6</f>
        <v>2026</v>
      </c>
      <c r="H52" s="4"/>
      <c r="I52" s="68"/>
      <c r="J52" s="199" t="s">
        <v>9</v>
      </c>
      <c r="K52" s="199"/>
      <c r="L52" s="200" t="str">
        <f>L6</f>
        <v>Amarildo Reales Silvera</v>
      </c>
      <c r="M52" s="200"/>
      <c r="N52" s="200"/>
      <c r="O52" s="200"/>
      <c r="P52" s="200"/>
      <c r="Q52" s="200"/>
      <c r="R52" s="68"/>
      <c r="S52" s="68"/>
      <c r="T52" s="68"/>
      <c r="U52" s="69"/>
      <c r="V52" s="69"/>
      <c r="W52" s="70"/>
    </row>
    <row r="53" spans="1:26" ht="16.5" x14ac:dyDescent="0.25">
      <c r="A53" s="71"/>
      <c r="B53" s="72"/>
      <c r="C53" s="73"/>
      <c r="D53" s="72"/>
      <c r="E53" s="72"/>
      <c r="F53" s="72"/>
      <c r="G53" s="73"/>
      <c r="H53" s="72"/>
      <c r="I53" s="72"/>
      <c r="J53" s="73"/>
      <c r="K53" s="72"/>
      <c r="L53" s="72"/>
      <c r="M53" s="74"/>
      <c r="N53" s="74"/>
      <c r="O53" s="74"/>
      <c r="P53" s="74"/>
      <c r="Q53" s="74"/>
      <c r="R53" s="74"/>
      <c r="S53" s="74"/>
      <c r="T53" s="74"/>
      <c r="U53" s="75"/>
      <c r="V53" s="75"/>
      <c r="W53" s="76"/>
    </row>
    <row r="54" spans="1:26" ht="18.75" thickBot="1" x14ac:dyDescent="0.3">
      <c r="A54" s="201" t="s">
        <v>64</v>
      </c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6" ht="17.25" customHeight="1" x14ac:dyDescent="0.25">
      <c r="A55" s="203" t="s">
        <v>11</v>
      </c>
      <c r="B55" s="206" t="s">
        <v>12</v>
      </c>
      <c r="C55" s="203" t="s">
        <v>13</v>
      </c>
      <c r="D55" s="208"/>
      <c r="E55" s="193" t="s">
        <v>14</v>
      </c>
      <c r="F55" s="195" t="s">
        <v>15</v>
      </c>
      <c r="G55" s="211" t="s">
        <v>16</v>
      </c>
      <c r="H55" s="188" t="s">
        <v>17</v>
      </c>
      <c r="I55" s="188" t="s">
        <v>18</v>
      </c>
      <c r="J55" s="188" t="s">
        <v>19</v>
      </c>
      <c r="K55" s="190" t="s">
        <v>20</v>
      </c>
      <c r="L55" s="191" t="s">
        <v>21</v>
      </c>
      <c r="M55" s="193" t="s">
        <v>22</v>
      </c>
      <c r="N55" s="194"/>
      <c r="O55" s="194"/>
      <c r="P55" s="194"/>
      <c r="Q55" s="194"/>
      <c r="R55" s="194"/>
      <c r="S55" s="194"/>
      <c r="T55" s="194"/>
      <c r="U55" s="195"/>
      <c r="V55" s="214" t="s">
        <v>23</v>
      </c>
      <c r="W55" s="206" t="s">
        <v>24</v>
      </c>
    </row>
    <row r="56" spans="1:26" ht="16.5" x14ac:dyDescent="0.25">
      <c r="A56" s="204"/>
      <c r="B56" s="207"/>
      <c r="C56" s="15" t="s">
        <v>25</v>
      </c>
      <c r="D56" s="16" t="s">
        <v>26</v>
      </c>
      <c r="E56" s="209"/>
      <c r="F56" s="210"/>
      <c r="G56" s="212"/>
      <c r="H56" s="189"/>
      <c r="I56" s="189"/>
      <c r="J56" s="189"/>
      <c r="K56" s="164"/>
      <c r="L56" s="192"/>
      <c r="M56" s="20" t="s">
        <v>65</v>
      </c>
      <c r="N56" s="77" t="s">
        <v>66</v>
      </c>
      <c r="O56" s="20" t="s">
        <v>67</v>
      </c>
      <c r="P56" s="20" t="s">
        <v>68</v>
      </c>
      <c r="Q56" s="20" t="s">
        <v>69</v>
      </c>
      <c r="R56" s="20" t="s">
        <v>70</v>
      </c>
      <c r="S56" s="20" t="s">
        <v>71</v>
      </c>
      <c r="T56" s="20" t="s">
        <v>72</v>
      </c>
      <c r="U56" s="23" t="s">
        <v>37</v>
      </c>
      <c r="V56" s="215"/>
      <c r="W56" s="213"/>
      <c r="X56"/>
      <c r="Y56"/>
      <c r="Z56"/>
    </row>
    <row r="57" spans="1:26" ht="17.25" thickBot="1" x14ac:dyDescent="0.3">
      <c r="A57" s="205"/>
      <c r="B57" s="14" t="s">
        <v>38</v>
      </c>
      <c r="C57" s="24" t="s">
        <v>39</v>
      </c>
      <c r="D57" s="18" t="s">
        <v>40</v>
      </c>
      <c r="E57" s="17" t="s">
        <v>41</v>
      </c>
      <c r="F57" s="18" t="s">
        <v>38</v>
      </c>
      <c r="G57" s="24" t="s">
        <v>42</v>
      </c>
      <c r="H57" s="25" t="s">
        <v>43</v>
      </c>
      <c r="I57" s="189"/>
      <c r="J57" s="189"/>
      <c r="K57" s="164"/>
      <c r="L57" s="19" t="s">
        <v>41</v>
      </c>
      <c r="M57" s="24" t="s">
        <v>44</v>
      </c>
      <c r="N57" s="25" t="s">
        <v>44</v>
      </c>
      <c r="O57" s="25" t="s">
        <v>44</v>
      </c>
      <c r="P57" s="25" t="s">
        <v>44</v>
      </c>
      <c r="Q57" s="18" t="s">
        <v>44</v>
      </c>
      <c r="R57" s="18" t="s">
        <v>44</v>
      </c>
      <c r="S57" s="18" t="s">
        <v>44</v>
      </c>
      <c r="T57" s="18" t="s">
        <v>44</v>
      </c>
      <c r="U57" s="23" t="s">
        <v>44</v>
      </c>
      <c r="V57" s="78" t="s">
        <v>44</v>
      </c>
      <c r="W57" s="79" t="s">
        <v>45</v>
      </c>
      <c r="X57"/>
    </row>
    <row r="58" spans="1:26" ht="16.5" x14ac:dyDescent="0.3">
      <c r="A58" s="80">
        <v>1</v>
      </c>
      <c r="B58" s="28">
        <v>0</v>
      </c>
      <c r="C58" s="28">
        <v>1366.45</v>
      </c>
      <c r="D58" s="81">
        <v>0</v>
      </c>
      <c r="E58" s="82">
        <v>0</v>
      </c>
      <c r="F58" s="83">
        <v>6509.92</v>
      </c>
      <c r="G58" s="82">
        <v>0</v>
      </c>
      <c r="H58" s="84">
        <f t="shared" ref="H58:H81" si="7">IF(G58=0,0,100*(E58-G58)/G58)</f>
        <v>0</v>
      </c>
      <c r="I58" s="85"/>
      <c r="J58" s="85" t="s">
        <v>103</v>
      </c>
      <c r="K58" s="86" t="str">
        <f t="shared" ref="K58:K81" si="8">IFERROR(U58*1000*2.2*$K$92/E58/1000,"")</f>
        <v/>
      </c>
      <c r="L58" s="87" t="str">
        <f t="shared" ref="L58:L81" si="9">IF(OR(H58&gt;5,H58&lt;-5),E58-G58,"")</f>
        <v/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28">
        <f>+SUM(M58:T58)</f>
        <v>0</v>
      </c>
      <c r="V58" s="81">
        <v>0</v>
      </c>
      <c r="W58" s="81">
        <v>0</v>
      </c>
      <c r="X58" s="89"/>
      <c r="Y58"/>
    </row>
    <row r="59" spans="1:26" ht="16.5" x14ac:dyDescent="0.3">
      <c r="A59" s="90">
        <v>2</v>
      </c>
      <c r="B59" s="28">
        <v>0</v>
      </c>
      <c r="C59" s="28">
        <v>1333.52</v>
      </c>
      <c r="D59" s="81">
        <v>0</v>
      </c>
      <c r="E59" s="82">
        <v>0</v>
      </c>
      <c r="F59" s="82">
        <v>6612.97</v>
      </c>
      <c r="G59" s="82">
        <v>0</v>
      </c>
      <c r="H59" s="91">
        <f t="shared" si="7"/>
        <v>0</v>
      </c>
      <c r="I59" s="85"/>
      <c r="J59" s="85" t="s">
        <v>103</v>
      </c>
      <c r="K59" s="86" t="str">
        <f t="shared" si="8"/>
        <v/>
      </c>
      <c r="L59" s="87" t="str">
        <f t="shared" si="9"/>
        <v/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28">
        <f t="shared" ref="U59:U81" si="10">+SUM(M59:T59)</f>
        <v>0</v>
      </c>
      <c r="V59" s="81">
        <v>0</v>
      </c>
      <c r="W59" s="81">
        <v>0</v>
      </c>
      <c r="X59" s="89"/>
      <c r="Y59"/>
    </row>
    <row r="60" spans="1:26" ht="16.5" x14ac:dyDescent="0.3">
      <c r="A60" s="90">
        <v>3</v>
      </c>
      <c r="B60" s="28">
        <v>0</v>
      </c>
      <c r="C60" s="28">
        <v>1354.2</v>
      </c>
      <c r="D60" s="81">
        <v>0</v>
      </c>
      <c r="E60" s="82">
        <v>0</v>
      </c>
      <c r="F60" s="82">
        <v>6492.19</v>
      </c>
      <c r="G60" s="82">
        <v>0</v>
      </c>
      <c r="H60" s="91">
        <f t="shared" si="7"/>
        <v>0</v>
      </c>
      <c r="I60" s="85"/>
      <c r="J60" s="85" t="s">
        <v>103</v>
      </c>
      <c r="K60" s="86" t="str">
        <f t="shared" si="8"/>
        <v/>
      </c>
      <c r="L60" s="87" t="str">
        <f t="shared" si="9"/>
        <v/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28">
        <f t="shared" si="10"/>
        <v>0</v>
      </c>
      <c r="V60" s="81">
        <v>0</v>
      </c>
      <c r="W60" s="81">
        <v>0</v>
      </c>
      <c r="X60" s="89"/>
      <c r="Y60"/>
    </row>
    <row r="61" spans="1:26" ht="16.5" x14ac:dyDescent="0.3">
      <c r="A61" s="90">
        <v>4</v>
      </c>
      <c r="B61" s="28">
        <v>0</v>
      </c>
      <c r="C61" s="28">
        <v>1374.56</v>
      </c>
      <c r="D61" s="81">
        <v>0</v>
      </c>
      <c r="E61" s="82">
        <v>0</v>
      </c>
      <c r="F61" s="82">
        <v>6501.51</v>
      </c>
      <c r="G61" s="82">
        <v>0</v>
      </c>
      <c r="H61" s="91">
        <f t="shared" si="7"/>
        <v>0</v>
      </c>
      <c r="I61" s="85"/>
      <c r="J61" s="85" t="s">
        <v>103</v>
      </c>
      <c r="K61" s="86" t="str">
        <f t="shared" si="8"/>
        <v/>
      </c>
      <c r="L61" s="87" t="str">
        <f t="shared" si="9"/>
        <v/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28">
        <f t="shared" si="10"/>
        <v>0</v>
      </c>
      <c r="V61" s="81">
        <v>0</v>
      </c>
      <c r="W61" s="81">
        <v>0</v>
      </c>
      <c r="X61" s="89"/>
      <c r="Y61"/>
      <c r="Z61"/>
    </row>
    <row r="62" spans="1:26" ht="16.5" x14ac:dyDescent="0.3">
      <c r="A62" s="90">
        <v>5</v>
      </c>
      <c r="B62" s="28">
        <v>0</v>
      </c>
      <c r="C62" s="28">
        <v>1386.21</v>
      </c>
      <c r="D62" s="81">
        <v>0</v>
      </c>
      <c r="E62" s="82">
        <v>0</v>
      </c>
      <c r="F62" s="82">
        <v>6473.06</v>
      </c>
      <c r="G62" s="82">
        <v>0</v>
      </c>
      <c r="H62" s="91">
        <f t="shared" si="7"/>
        <v>0</v>
      </c>
      <c r="I62" s="85"/>
      <c r="J62" s="85" t="s">
        <v>103</v>
      </c>
      <c r="K62" s="86" t="str">
        <f t="shared" si="8"/>
        <v/>
      </c>
      <c r="L62" s="87" t="str">
        <f t="shared" si="9"/>
        <v/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28">
        <f t="shared" si="10"/>
        <v>0</v>
      </c>
      <c r="V62" s="81">
        <v>0</v>
      </c>
      <c r="W62" s="81">
        <v>0</v>
      </c>
      <c r="X62" s="89"/>
      <c r="Y62"/>
      <c r="Z62"/>
    </row>
    <row r="63" spans="1:26" ht="16.5" x14ac:dyDescent="0.3">
      <c r="A63" s="90">
        <v>6</v>
      </c>
      <c r="B63" s="28">
        <v>0</v>
      </c>
      <c r="C63" s="28">
        <v>1471.72</v>
      </c>
      <c r="D63" s="81">
        <v>0</v>
      </c>
      <c r="E63" s="82">
        <v>0</v>
      </c>
      <c r="F63" s="82">
        <v>6325.96</v>
      </c>
      <c r="G63" s="82">
        <v>0</v>
      </c>
      <c r="H63" s="91">
        <f t="shared" si="7"/>
        <v>0</v>
      </c>
      <c r="I63" s="85"/>
      <c r="J63" s="85" t="s">
        <v>103</v>
      </c>
      <c r="K63" s="86" t="str">
        <f t="shared" si="8"/>
        <v/>
      </c>
      <c r="L63" s="87" t="str">
        <f t="shared" si="9"/>
        <v/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28">
        <f t="shared" si="10"/>
        <v>0</v>
      </c>
      <c r="V63" s="81">
        <v>0</v>
      </c>
      <c r="W63" s="81">
        <v>0</v>
      </c>
      <c r="X63" s="89"/>
      <c r="Y63"/>
      <c r="Z63"/>
    </row>
    <row r="64" spans="1:26" ht="16.5" x14ac:dyDescent="0.3">
      <c r="A64" s="90">
        <v>7</v>
      </c>
      <c r="B64" s="28">
        <v>0</v>
      </c>
      <c r="C64" s="28">
        <v>1639.88</v>
      </c>
      <c r="D64" s="81">
        <v>0</v>
      </c>
      <c r="E64" s="82">
        <v>0</v>
      </c>
      <c r="F64" s="82">
        <v>5916.92</v>
      </c>
      <c r="G64" s="82">
        <v>0</v>
      </c>
      <c r="H64" s="91">
        <f t="shared" si="7"/>
        <v>0</v>
      </c>
      <c r="I64" s="85"/>
      <c r="J64" s="85" t="s">
        <v>103</v>
      </c>
      <c r="K64" s="86" t="str">
        <f t="shared" si="8"/>
        <v/>
      </c>
      <c r="L64" s="87" t="str">
        <f t="shared" si="9"/>
        <v/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28">
        <f t="shared" si="10"/>
        <v>0</v>
      </c>
      <c r="V64" s="81">
        <v>0</v>
      </c>
      <c r="W64" s="81">
        <v>0</v>
      </c>
      <c r="X64" s="89"/>
      <c r="Y64"/>
      <c r="Z64"/>
    </row>
    <row r="65" spans="1:25" ht="16.5" x14ac:dyDescent="0.3">
      <c r="A65" s="90">
        <v>8</v>
      </c>
      <c r="B65" s="28">
        <v>0</v>
      </c>
      <c r="C65" s="28">
        <v>1836.27</v>
      </c>
      <c r="D65" s="81">
        <v>0</v>
      </c>
      <c r="E65" s="82">
        <v>0</v>
      </c>
      <c r="F65" s="82">
        <v>4834.7</v>
      </c>
      <c r="G65" s="82">
        <v>0</v>
      </c>
      <c r="H65" s="91">
        <f t="shared" si="7"/>
        <v>0</v>
      </c>
      <c r="I65" s="85"/>
      <c r="J65" s="85" t="s">
        <v>103</v>
      </c>
      <c r="K65" s="86" t="str">
        <f t="shared" si="8"/>
        <v/>
      </c>
      <c r="L65" s="87" t="str">
        <f t="shared" si="9"/>
        <v/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28">
        <f t="shared" si="10"/>
        <v>0</v>
      </c>
      <c r="V65" s="81">
        <v>0</v>
      </c>
      <c r="W65" s="81">
        <v>0</v>
      </c>
      <c r="X65" s="89"/>
      <c r="Y65"/>
    </row>
    <row r="66" spans="1:25" ht="16.5" x14ac:dyDescent="0.3">
      <c r="A66" s="90">
        <v>9</v>
      </c>
      <c r="B66" s="28">
        <v>0</v>
      </c>
      <c r="C66" s="28">
        <v>1801.96</v>
      </c>
      <c r="D66" s="81">
        <v>0</v>
      </c>
      <c r="E66" s="82">
        <v>0</v>
      </c>
      <c r="F66" s="82">
        <v>4915.21</v>
      </c>
      <c r="G66" s="82">
        <v>0</v>
      </c>
      <c r="H66" s="91">
        <f t="shared" si="7"/>
        <v>0</v>
      </c>
      <c r="I66" s="85"/>
      <c r="J66" s="85" t="s">
        <v>103</v>
      </c>
      <c r="K66" s="86" t="str">
        <f t="shared" si="8"/>
        <v/>
      </c>
      <c r="L66" s="87" t="str">
        <f t="shared" si="9"/>
        <v/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28">
        <f t="shared" si="10"/>
        <v>0</v>
      </c>
      <c r="V66" s="81">
        <v>0</v>
      </c>
      <c r="W66" s="81">
        <v>0</v>
      </c>
      <c r="X66" s="89"/>
      <c r="Y66"/>
    </row>
    <row r="67" spans="1:25" ht="16.5" x14ac:dyDescent="0.3">
      <c r="A67" s="90">
        <v>10</v>
      </c>
      <c r="B67" s="28">
        <v>0</v>
      </c>
      <c r="C67" s="28">
        <v>1774.27</v>
      </c>
      <c r="D67" s="81">
        <v>39.020000000000003</v>
      </c>
      <c r="E67" s="82">
        <v>0</v>
      </c>
      <c r="F67" s="82">
        <v>4882.6499999999996</v>
      </c>
      <c r="G67" s="82">
        <v>0</v>
      </c>
      <c r="H67" s="91">
        <f t="shared" si="7"/>
        <v>0</v>
      </c>
      <c r="I67" s="85"/>
      <c r="J67" s="85" t="s">
        <v>103</v>
      </c>
      <c r="K67" s="86" t="str">
        <f t="shared" si="8"/>
        <v/>
      </c>
      <c r="L67" s="87" t="str">
        <f t="shared" si="9"/>
        <v/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28">
        <f t="shared" si="10"/>
        <v>0</v>
      </c>
      <c r="V67" s="81">
        <v>0</v>
      </c>
      <c r="W67" s="81">
        <v>0</v>
      </c>
      <c r="X67" s="89"/>
      <c r="Y67"/>
    </row>
    <row r="68" spans="1:25" ht="16.5" x14ac:dyDescent="0.3">
      <c r="A68" s="90">
        <v>11</v>
      </c>
      <c r="B68" s="28">
        <v>0</v>
      </c>
      <c r="C68" s="28">
        <v>2002.56</v>
      </c>
      <c r="D68" s="81">
        <v>0</v>
      </c>
      <c r="E68" s="82">
        <v>0</v>
      </c>
      <c r="F68" s="82">
        <v>5260.69</v>
      </c>
      <c r="G68" s="82">
        <v>0</v>
      </c>
      <c r="H68" s="91">
        <f t="shared" si="7"/>
        <v>0</v>
      </c>
      <c r="I68" s="85"/>
      <c r="J68" s="85" t="s">
        <v>103</v>
      </c>
      <c r="K68" s="86" t="str">
        <f t="shared" si="8"/>
        <v/>
      </c>
      <c r="L68" s="87" t="str">
        <f t="shared" si="9"/>
        <v/>
      </c>
      <c r="M68" s="88">
        <v>0</v>
      </c>
      <c r="N68" s="88">
        <v>0</v>
      </c>
      <c r="O68" s="88">
        <v>0</v>
      </c>
      <c r="P68" s="92">
        <v>0</v>
      </c>
      <c r="Q68" s="88">
        <v>0</v>
      </c>
      <c r="R68" s="88">
        <v>0</v>
      </c>
      <c r="S68" s="88">
        <v>0</v>
      </c>
      <c r="T68" s="88">
        <v>0</v>
      </c>
      <c r="U68" s="28">
        <f t="shared" si="10"/>
        <v>0</v>
      </c>
      <c r="V68" s="81">
        <v>0</v>
      </c>
      <c r="W68" s="81">
        <v>0</v>
      </c>
      <c r="X68" s="89"/>
      <c r="Y68"/>
    </row>
    <row r="69" spans="1:25" ht="16.5" x14ac:dyDescent="0.3">
      <c r="A69" s="90">
        <v>12</v>
      </c>
      <c r="B69" s="28">
        <v>0</v>
      </c>
      <c r="C69" s="28">
        <v>1986.58</v>
      </c>
      <c r="D69" s="81">
        <v>0</v>
      </c>
      <c r="E69" s="82">
        <v>0</v>
      </c>
      <c r="F69" s="82">
        <v>5366.95</v>
      </c>
      <c r="G69" s="82">
        <v>0</v>
      </c>
      <c r="H69" s="91">
        <f t="shared" si="7"/>
        <v>0</v>
      </c>
      <c r="I69" s="85"/>
      <c r="J69" s="85" t="s">
        <v>103</v>
      </c>
      <c r="K69" s="86" t="str">
        <f t="shared" si="8"/>
        <v/>
      </c>
      <c r="L69" s="87" t="str">
        <f t="shared" si="9"/>
        <v/>
      </c>
      <c r="M69" s="88">
        <v>0</v>
      </c>
      <c r="N69" s="88">
        <v>0</v>
      </c>
      <c r="O69" s="88">
        <v>0</v>
      </c>
      <c r="P69" s="92">
        <v>0</v>
      </c>
      <c r="Q69" s="88">
        <v>0</v>
      </c>
      <c r="R69" s="88">
        <v>0</v>
      </c>
      <c r="S69" s="88">
        <v>0</v>
      </c>
      <c r="T69" s="88">
        <v>0</v>
      </c>
      <c r="U69" s="28">
        <f t="shared" si="10"/>
        <v>0</v>
      </c>
      <c r="V69" s="81">
        <v>0</v>
      </c>
      <c r="W69" s="81">
        <v>0</v>
      </c>
      <c r="X69" s="89"/>
      <c r="Y69"/>
    </row>
    <row r="70" spans="1:25" ht="16.5" x14ac:dyDescent="0.3">
      <c r="A70" s="90">
        <v>13</v>
      </c>
      <c r="B70" s="28">
        <v>0</v>
      </c>
      <c r="C70" s="28">
        <v>1958.07</v>
      </c>
      <c r="D70" s="81">
        <v>0</v>
      </c>
      <c r="E70" s="82">
        <v>0</v>
      </c>
      <c r="F70" s="82">
        <v>5387.88</v>
      </c>
      <c r="G70" s="82">
        <v>0</v>
      </c>
      <c r="H70" s="91">
        <f t="shared" si="7"/>
        <v>0</v>
      </c>
      <c r="I70" s="85"/>
      <c r="J70" s="85" t="s">
        <v>103</v>
      </c>
      <c r="K70" s="86" t="str">
        <f t="shared" si="8"/>
        <v/>
      </c>
      <c r="L70" s="87" t="str">
        <f t="shared" si="9"/>
        <v/>
      </c>
      <c r="M70" s="88">
        <v>0</v>
      </c>
      <c r="N70" s="88">
        <v>0</v>
      </c>
      <c r="O70" s="88">
        <v>0</v>
      </c>
      <c r="P70" s="92">
        <v>0</v>
      </c>
      <c r="Q70" s="88">
        <v>0</v>
      </c>
      <c r="R70" s="88">
        <v>0</v>
      </c>
      <c r="S70" s="88">
        <v>0</v>
      </c>
      <c r="T70" s="88">
        <v>0</v>
      </c>
      <c r="U70" s="28">
        <f t="shared" si="10"/>
        <v>0</v>
      </c>
      <c r="V70" s="81">
        <v>0</v>
      </c>
      <c r="W70" s="81">
        <v>0</v>
      </c>
      <c r="X70" s="89"/>
      <c r="Y70"/>
    </row>
    <row r="71" spans="1:25" ht="16.5" customHeight="1" x14ac:dyDescent="0.3">
      <c r="A71" s="90">
        <v>14</v>
      </c>
      <c r="B71" s="28">
        <v>0</v>
      </c>
      <c r="C71" s="28">
        <v>2039.99</v>
      </c>
      <c r="D71" s="81">
        <v>0</v>
      </c>
      <c r="E71" s="82">
        <v>0</v>
      </c>
      <c r="F71" s="82">
        <v>5253.26</v>
      </c>
      <c r="G71" s="82">
        <v>0</v>
      </c>
      <c r="H71" s="91">
        <f t="shared" si="7"/>
        <v>0</v>
      </c>
      <c r="I71" s="85"/>
      <c r="J71" s="85" t="s">
        <v>103</v>
      </c>
      <c r="K71" s="86" t="str">
        <f t="shared" si="8"/>
        <v/>
      </c>
      <c r="L71" s="87" t="str">
        <f t="shared" si="9"/>
        <v/>
      </c>
      <c r="M71" s="88">
        <v>0</v>
      </c>
      <c r="N71" s="88">
        <v>0</v>
      </c>
      <c r="O71" s="88">
        <v>0</v>
      </c>
      <c r="P71" s="92">
        <v>0</v>
      </c>
      <c r="Q71" s="88">
        <v>0</v>
      </c>
      <c r="R71" s="88">
        <v>0</v>
      </c>
      <c r="S71" s="88">
        <v>0</v>
      </c>
      <c r="T71" s="88">
        <v>0</v>
      </c>
      <c r="U71" s="28">
        <f t="shared" si="10"/>
        <v>0</v>
      </c>
      <c r="V71" s="81">
        <v>0</v>
      </c>
      <c r="W71" s="81">
        <v>0</v>
      </c>
      <c r="X71" s="89"/>
      <c r="Y71"/>
    </row>
    <row r="72" spans="1:25" ht="16.5" x14ac:dyDescent="0.3">
      <c r="A72" s="90">
        <v>15</v>
      </c>
      <c r="B72" s="28">
        <v>0</v>
      </c>
      <c r="C72" s="28">
        <v>2034.77</v>
      </c>
      <c r="D72" s="81">
        <v>0</v>
      </c>
      <c r="E72" s="82">
        <v>0</v>
      </c>
      <c r="F72" s="82">
        <v>5276.72</v>
      </c>
      <c r="G72" s="82">
        <v>0</v>
      </c>
      <c r="H72" s="91">
        <f t="shared" si="7"/>
        <v>0</v>
      </c>
      <c r="I72" s="85"/>
      <c r="J72" s="85" t="s">
        <v>103</v>
      </c>
      <c r="K72" s="86" t="str">
        <f t="shared" si="8"/>
        <v/>
      </c>
      <c r="L72" s="87" t="str">
        <f t="shared" si="9"/>
        <v/>
      </c>
      <c r="M72" s="88">
        <v>0</v>
      </c>
      <c r="N72" s="88">
        <v>0</v>
      </c>
      <c r="O72" s="88">
        <v>0</v>
      </c>
      <c r="P72" s="92">
        <v>0</v>
      </c>
      <c r="Q72" s="88">
        <v>0</v>
      </c>
      <c r="R72" s="88">
        <v>0</v>
      </c>
      <c r="S72" s="88">
        <v>0</v>
      </c>
      <c r="T72" s="88">
        <v>0</v>
      </c>
      <c r="U72" s="28">
        <f t="shared" si="10"/>
        <v>0</v>
      </c>
      <c r="V72" s="81">
        <v>0</v>
      </c>
      <c r="W72" s="81">
        <v>0</v>
      </c>
      <c r="X72" s="89"/>
      <c r="Y72"/>
    </row>
    <row r="73" spans="1:25" ht="16.5" x14ac:dyDescent="0.3">
      <c r="A73" s="90">
        <v>16</v>
      </c>
      <c r="B73" s="28">
        <v>0</v>
      </c>
      <c r="C73" s="28">
        <v>2057.59</v>
      </c>
      <c r="D73" s="81">
        <v>0</v>
      </c>
      <c r="E73" s="82">
        <v>0</v>
      </c>
      <c r="F73" s="82">
        <v>5282.65</v>
      </c>
      <c r="G73" s="82">
        <v>0</v>
      </c>
      <c r="H73" s="91">
        <f t="shared" si="7"/>
        <v>0</v>
      </c>
      <c r="I73" s="85"/>
      <c r="J73" s="85" t="s">
        <v>103</v>
      </c>
      <c r="K73" s="86" t="str">
        <f t="shared" si="8"/>
        <v/>
      </c>
      <c r="L73" s="87" t="str">
        <f t="shared" si="9"/>
        <v/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28">
        <f t="shared" si="10"/>
        <v>0</v>
      </c>
      <c r="V73" s="81">
        <v>0</v>
      </c>
      <c r="W73" s="81">
        <v>0</v>
      </c>
      <c r="X73" s="89"/>
      <c r="Y73"/>
    </row>
    <row r="74" spans="1:25" ht="16.5" x14ac:dyDescent="0.3">
      <c r="A74" s="90">
        <v>17</v>
      </c>
      <c r="B74" s="28">
        <v>0</v>
      </c>
      <c r="C74" s="28">
        <v>2055.67</v>
      </c>
      <c r="D74" s="81">
        <v>0</v>
      </c>
      <c r="E74" s="82">
        <v>0</v>
      </c>
      <c r="F74" s="82">
        <v>5284.6</v>
      </c>
      <c r="G74" s="82">
        <v>0</v>
      </c>
      <c r="H74" s="91">
        <f t="shared" si="7"/>
        <v>0</v>
      </c>
      <c r="I74" s="85"/>
      <c r="J74" s="85" t="s">
        <v>103</v>
      </c>
      <c r="K74" s="86" t="str">
        <f t="shared" si="8"/>
        <v/>
      </c>
      <c r="L74" s="87" t="str">
        <f t="shared" si="9"/>
        <v/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28">
        <f t="shared" si="10"/>
        <v>0</v>
      </c>
      <c r="V74" s="81">
        <v>0</v>
      </c>
      <c r="W74" s="81">
        <v>0</v>
      </c>
      <c r="X74" s="89"/>
      <c r="Y74"/>
    </row>
    <row r="75" spans="1:25" ht="16.5" x14ac:dyDescent="0.3">
      <c r="A75" s="90">
        <v>18</v>
      </c>
      <c r="B75" s="28">
        <v>0</v>
      </c>
      <c r="C75" s="28">
        <v>2107.3200000000002</v>
      </c>
      <c r="D75" s="81">
        <v>0</v>
      </c>
      <c r="E75" s="82">
        <v>0</v>
      </c>
      <c r="F75" s="82">
        <v>5250.48</v>
      </c>
      <c r="G75" s="82">
        <v>0</v>
      </c>
      <c r="H75" s="91">
        <f t="shared" si="7"/>
        <v>0</v>
      </c>
      <c r="I75" s="85"/>
      <c r="J75" s="85" t="s">
        <v>103</v>
      </c>
      <c r="K75" s="86" t="str">
        <f t="shared" si="8"/>
        <v/>
      </c>
      <c r="L75" s="87" t="str">
        <f t="shared" si="9"/>
        <v/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28">
        <f t="shared" si="10"/>
        <v>0</v>
      </c>
      <c r="V75" s="81">
        <v>0</v>
      </c>
      <c r="W75" s="81">
        <v>0</v>
      </c>
      <c r="X75" s="89"/>
      <c r="Y75"/>
    </row>
    <row r="76" spans="1:25" ht="16.5" x14ac:dyDescent="0.3">
      <c r="A76" s="90">
        <v>19</v>
      </c>
      <c r="B76" s="28">
        <v>0</v>
      </c>
      <c r="C76" s="28">
        <v>2120.67</v>
      </c>
      <c r="D76" s="81">
        <v>0</v>
      </c>
      <c r="E76" s="82">
        <v>0</v>
      </c>
      <c r="F76" s="82">
        <v>5249.83</v>
      </c>
      <c r="G76" s="82">
        <v>0</v>
      </c>
      <c r="H76" s="91">
        <f t="shared" si="7"/>
        <v>0</v>
      </c>
      <c r="I76" s="85"/>
      <c r="J76" s="85" t="s">
        <v>103</v>
      </c>
      <c r="K76" s="86" t="str">
        <f t="shared" si="8"/>
        <v/>
      </c>
      <c r="L76" s="87" t="str">
        <f t="shared" si="9"/>
        <v/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28">
        <f t="shared" si="10"/>
        <v>0</v>
      </c>
      <c r="V76" s="81">
        <v>0</v>
      </c>
      <c r="W76" s="81">
        <v>0</v>
      </c>
      <c r="X76" s="89"/>
      <c r="Y76"/>
    </row>
    <row r="77" spans="1:25" s="94" customFormat="1" ht="16.5" x14ac:dyDescent="0.3">
      <c r="A77" s="90">
        <v>20</v>
      </c>
      <c r="B77" s="28">
        <v>0</v>
      </c>
      <c r="C77" s="28">
        <v>2110.35</v>
      </c>
      <c r="D77" s="81">
        <v>0</v>
      </c>
      <c r="E77" s="82">
        <v>0</v>
      </c>
      <c r="F77" s="82">
        <v>5257.51</v>
      </c>
      <c r="G77" s="82">
        <v>0</v>
      </c>
      <c r="H77" s="91">
        <f t="shared" si="7"/>
        <v>0</v>
      </c>
      <c r="I77" s="85"/>
      <c r="J77" s="85" t="s">
        <v>103</v>
      </c>
      <c r="K77" s="86" t="str">
        <f t="shared" si="8"/>
        <v/>
      </c>
      <c r="L77" s="87" t="str">
        <f t="shared" si="9"/>
        <v/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28">
        <f t="shared" si="10"/>
        <v>0</v>
      </c>
      <c r="V77" s="81">
        <v>0</v>
      </c>
      <c r="W77" s="81">
        <v>0</v>
      </c>
      <c r="X77" s="89"/>
      <c r="Y77" s="93"/>
    </row>
    <row r="78" spans="1:25" ht="16.5" x14ac:dyDescent="0.3">
      <c r="A78" s="90">
        <v>21</v>
      </c>
      <c r="B78" s="28">
        <v>0</v>
      </c>
      <c r="C78" s="28">
        <v>2016.91</v>
      </c>
      <c r="D78" s="81">
        <v>0.18</v>
      </c>
      <c r="E78" s="82">
        <v>0</v>
      </c>
      <c r="F78" s="82">
        <v>5435.5</v>
      </c>
      <c r="G78" s="82">
        <v>0</v>
      </c>
      <c r="H78" s="91">
        <f t="shared" si="7"/>
        <v>0</v>
      </c>
      <c r="I78" s="85"/>
      <c r="J78" s="85" t="s">
        <v>103</v>
      </c>
      <c r="K78" s="86" t="str">
        <f t="shared" si="8"/>
        <v/>
      </c>
      <c r="L78" s="87" t="str">
        <f t="shared" si="9"/>
        <v/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28">
        <f t="shared" si="10"/>
        <v>0</v>
      </c>
      <c r="V78" s="81">
        <v>0</v>
      </c>
      <c r="W78" s="81">
        <v>0</v>
      </c>
      <c r="X78" s="89"/>
      <c r="Y78"/>
    </row>
    <row r="79" spans="1:25" ht="16.5" x14ac:dyDescent="0.3">
      <c r="A79" s="90">
        <v>22</v>
      </c>
      <c r="B79" s="28">
        <v>0</v>
      </c>
      <c r="C79" s="28">
        <v>1891.84</v>
      </c>
      <c r="D79" s="81">
        <v>0</v>
      </c>
      <c r="E79" s="82">
        <v>0</v>
      </c>
      <c r="F79" s="82">
        <v>5683.92</v>
      </c>
      <c r="G79" s="82">
        <v>0</v>
      </c>
      <c r="H79" s="91">
        <f t="shared" si="7"/>
        <v>0</v>
      </c>
      <c r="I79" s="85"/>
      <c r="J79" s="85" t="s">
        <v>103</v>
      </c>
      <c r="K79" s="86" t="str">
        <f t="shared" si="8"/>
        <v/>
      </c>
      <c r="L79" s="87" t="str">
        <f t="shared" si="9"/>
        <v/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28">
        <f t="shared" si="10"/>
        <v>0</v>
      </c>
      <c r="V79" s="81">
        <v>0</v>
      </c>
      <c r="W79" s="81">
        <v>0</v>
      </c>
      <c r="X79" s="89"/>
      <c r="Y79"/>
    </row>
    <row r="80" spans="1:25" ht="16.5" x14ac:dyDescent="0.3">
      <c r="A80" s="90">
        <v>23</v>
      </c>
      <c r="B80" s="28">
        <v>0</v>
      </c>
      <c r="C80" s="28">
        <v>1881.5</v>
      </c>
      <c r="D80" s="81">
        <v>0</v>
      </c>
      <c r="E80" s="82">
        <v>0</v>
      </c>
      <c r="F80" s="82">
        <v>5713.37</v>
      </c>
      <c r="G80" s="82">
        <v>0</v>
      </c>
      <c r="H80" s="91">
        <f t="shared" si="7"/>
        <v>0</v>
      </c>
      <c r="I80" s="85"/>
      <c r="J80" s="85" t="s">
        <v>103</v>
      </c>
      <c r="K80" s="86" t="str">
        <f t="shared" si="8"/>
        <v/>
      </c>
      <c r="L80" s="87" t="str">
        <f t="shared" si="9"/>
        <v/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28">
        <f t="shared" si="10"/>
        <v>0</v>
      </c>
      <c r="V80" s="81">
        <v>0</v>
      </c>
      <c r="W80" s="81">
        <v>0</v>
      </c>
      <c r="X80" s="89"/>
      <c r="Y80"/>
    </row>
    <row r="81" spans="1:25" ht="17.25" thickBot="1" x14ac:dyDescent="0.35">
      <c r="A81" s="95">
        <v>24</v>
      </c>
      <c r="B81" s="28">
        <v>0</v>
      </c>
      <c r="C81" s="28">
        <v>1900.13</v>
      </c>
      <c r="D81" s="28">
        <v>0</v>
      </c>
      <c r="E81" s="96">
        <v>0</v>
      </c>
      <c r="F81" s="97">
        <v>5687.06</v>
      </c>
      <c r="G81" s="82">
        <v>0</v>
      </c>
      <c r="H81" s="98">
        <f t="shared" si="7"/>
        <v>0</v>
      </c>
      <c r="I81" s="115"/>
      <c r="J81" s="85" t="s">
        <v>103</v>
      </c>
      <c r="K81" s="99" t="str">
        <f t="shared" si="8"/>
        <v/>
      </c>
      <c r="L81" s="87" t="str">
        <f t="shared" si="9"/>
        <v/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28">
        <f t="shared" si="10"/>
        <v>0</v>
      </c>
      <c r="V81" s="81">
        <v>0</v>
      </c>
      <c r="W81" s="81">
        <v>0</v>
      </c>
      <c r="X81" s="89"/>
      <c r="Y81"/>
    </row>
    <row r="82" spans="1:25" ht="17.25" thickBot="1" x14ac:dyDescent="0.3">
      <c r="A82" s="100" t="s">
        <v>46</v>
      </c>
      <c r="B82" s="35">
        <f t="shared" ref="B82:G82" si="11">SUM(B58:B81)</f>
        <v>0</v>
      </c>
      <c r="C82" s="35">
        <f t="shared" si="11"/>
        <v>43502.99</v>
      </c>
      <c r="D82" s="35">
        <f t="shared" si="11"/>
        <v>39.200000000000003</v>
      </c>
      <c r="E82" s="35">
        <f t="shared" si="11"/>
        <v>0</v>
      </c>
      <c r="F82" s="101">
        <f t="shared" si="11"/>
        <v>134855.50999999998</v>
      </c>
      <c r="G82" s="35">
        <f t="shared" si="11"/>
        <v>0</v>
      </c>
      <c r="H82" s="102"/>
      <c r="I82" s="103"/>
      <c r="J82" s="104"/>
      <c r="K82" s="105" t="str">
        <f>IFERROR(AVERAGE(K58:K81),"")</f>
        <v/>
      </c>
      <c r="L82" s="40">
        <f t="shared" ref="L82:U82" si="12">SUM(L58:L81)</f>
        <v>0</v>
      </c>
      <c r="M82" s="40">
        <f t="shared" si="12"/>
        <v>0</v>
      </c>
      <c r="N82" s="39">
        <f t="shared" si="12"/>
        <v>0</v>
      </c>
      <c r="O82" s="39">
        <f t="shared" si="12"/>
        <v>0</v>
      </c>
      <c r="P82" s="39">
        <f t="shared" si="12"/>
        <v>0</v>
      </c>
      <c r="Q82" s="39">
        <f t="shared" si="12"/>
        <v>0</v>
      </c>
      <c r="R82" s="39">
        <f t="shared" si="12"/>
        <v>0</v>
      </c>
      <c r="S82" s="39">
        <f t="shared" si="12"/>
        <v>0</v>
      </c>
      <c r="T82" s="39">
        <f t="shared" si="12"/>
        <v>0</v>
      </c>
      <c r="U82" s="118">
        <f t="shared" si="12"/>
        <v>0</v>
      </c>
      <c r="V82" s="39">
        <f>+SUM(V58:V81)</f>
        <v>0</v>
      </c>
      <c r="W82" s="39">
        <f>SUM(W58:W81)</f>
        <v>0</v>
      </c>
      <c r="X82" s="106"/>
    </row>
    <row r="83" spans="1:25" ht="16.5" x14ac:dyDescent="0.25">
      <c r="A83" s="41"/>
      <c r="B83" s="41"/>
      <c r="C83" s="41"/>
      <c r="D83" s="41"/>
      <c r="E83" s="41"/>
      <c r="F83" s="41"/>
      <c r="G83" s="41"/>
      <c r="H83" s="41"/>
      <c r="I83" s="107"/>
      <c r="J83" s="41"/>
      <c r="K83" s="41"/>
      <c r="L83" s="108"/>
      <c r="M83" s="41"/>
      <c r="N83" s="41"/>
      <c r="O83" s="41"/>
      <c r="P83" s="41"/>
      <c r="Q83" s="41"/>
      <c r="R83" s="41"/>
      <c r="S83" s="41"/>
      <c r="T83" s="41"/>
      <c r="U83" s="43"/>
      <c r="V83" s="109"/>
      <c r="W83" s="41"/>
      <c r="X83" s="44"/>
    </row>
    <row r="84" spans="1:25" ht="17.25" thickBot="1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108"/>
      <c r="M84" s="46"/>
      <c r="N84" s="46"/>
      <c r="O84" s="41"/>
      <c r="P84" s="41"/>
      <c r="Q84" s="41"/>
      <c r="R84" s="41"/>
      <c r="S84" s="41"/>
      <c r="T84" s="41"/>
      <c r="U84" s="42"/>
      <c r="V84" s="109"/>
      <c r="W84" s="47"/>
      <c r="X84" s="44"/>
    </row>
    <row r="85" spans="1:25" ht="17.25" thickBot="1" x14ac:dyDescent="0.35">
      <c r="A85" s="198" t="s">
        <v>47</v>
      </c>
      <c r="B85" s="198" t="s">
        <v>48</v>
      </c>
      <c r="C85" s="198" t="s">
        <v>49</v>
      </c>
      <c r="D85" s="198" t="s">
        <v>50</v>
      </c>
      <c r="E85" s="48"/>
      <c r="F85" s="48"/>
      <c r="G85" s="41"/>
      <c r="H85" s="176" t="s">
        <v>51</v>
      </c>
      <c r="I85" s="177"/>
      <c r="J85" s="46"/>
      <c r="K85" s="176" t="s">
        <v>52</v>
      </c>
      <c r="L85" s="177"/>
      <c r="M85" s="41"/>
      <c r="N85" s="180" t="s">
        <v>53</v>
      </c>
      <c r="O85" s="183" t="s">
        <v>74</v>
      </c>
      <c r="P85" s="168"/>
      <c r="Q85" s="168"/>
      <c r="R85" s="168"/>
      <c r="S85" s="169"/>
      <c r="T85" s="49"/>
      <c r="U85" s="49"/>
      <c r="V85" s="50" t="s">
        <v>54</v>
      </c>
      <c r="W85" s="110">
        <v>0</v>
      </c>
    </row>
    <row r="86" spans="1:25" ht="17.25" thickBot="1" x14ac:dyDescent="0.35">
      <c r="A86" s="189"/>
      <c r="B86" s="189"/>
      <c r="C86" s="189"/>
      <c r="D86" s="189"/>
      <c r="E86" s="48">
        <v>3</v>
      </c>
      <c r="F86" s="48"/>
      <c r="G86" s="41"/>
      <c r="H86" s="164"/>
      <c r="I86" s="179"/>
      <c r="J86" s="46"/>
      <c r="K86" s="178"/>
      <c r="L86" s="179"/>
      <c r="M86" s="41"/>
      <c r="N86" s="181"/>
      <c r="O86" s="184"/>
      <c r="P86" s="185"/>
      <c r="Q86" s="185"/>
      <c r="R86" s="185"/>
      <c r="S86" s="186"/>
      <c r="T86" s="49"/>
      <c r="U86" s="49"/>
      <c r="V86" s="52" t="s">
        <v>56</v>
      </c>
      <c r="W86" s="110">
        <f>+W85+W82</f>
        <v>0</v>
      </c>
      <c r="X86" s="106"/>
    </row>
    <row r="87" spans="1:25" ht="17.25" thickBot="1" x14ac:dyDescent="0.3">
      <c r="A87" s="53" t="s">
        <v>57</v>
      </c>
      <c r="B87" s="53" t="s">
        <v>57</v>
      </c>
      <c r="C87" s="53" t="s">
        <v>57</v>
      </c>
      <c r="D87" s="53" t="s">
        <v>57</v>
      </c>
      <c r="E87" s="54"/>
      <c r="F87" s="54"/>
      <c r="G87" s="41"/>
      <c r="H87" s="166" t="s">
        <v>59</v>
      </c>
      <c r="I87" s="196">
        <f>F82</f>
        <v>134855.50999999998</v>
      </c>
      <c r="J87" s="41"/>
      <c r="K87" s="62" t="s">
        <v>59</v>
      </c>
      <c r="L87" s="113">
        <v>7316</v>
      </c>
      <c r="M87" s="41"/>
      <c r="N87" s="182"/>
      <c r="O87" s="187"/>
      <c r="P87" s="170"/>
      <c r="Q87" s="170"/>
      <c r="R87" s="170"/>
      <c r="S87" s="171"/>
      <c r="T87" s="41"/>
      <c r="U87" s="41"/>
      <c r="V87" s="41"/>
      <c r="W87" s="41"/>
      <c r="X87" s="41"/>
    </row>
    <row r="88" spans="1:25" ht="17.25" thickBot="1" x14ac:dyDescent="0.3">
      <c r="A88" s="57">
        <v>0</v>
      </c>
      <c r="B88" s="57">
        <v>0</v>
      </c>
      <c r="C88" s="57">
        <v>1</v>
      </c>
      <c r="D88" s="57">
        <v>0</v>
      </c>
      <c r="E88" s="58"/>
      <c r="F88" s="58"/>
      <c r="G88" s="41"/>
      <c r="H88" s="167"/>
      <c r="I88" s="197"/>
      <c r="J88" s="41"/>
      <c r="K88" s="63" t="s">
        <v>60</v>
      </c>
      <c r="L88" s="114">
        <v>3313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3"/>
      <c r="X88" s="41"/>
    </row>
    <row r="89" spans="1:25" ht="16.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5" ht="16.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64" t="s">
        <v>61</v>
      </c>
      <c r="L90" s="165"/>
      <c r="M90" s="4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5" ht="17.25" thickBot="1" x14ac:dyDescent="0.3">
      <c r="A91" s="41"/>
      <c r="B91" s="166" t="s">
        <v>53</v>
      </c>
      <c r="C91" s="168" t="s">
        <v>75</v>
      </c>
      <c r="D91" s="168"/>
      <c r="E91" s="168"/>
      <c r="F91" s="168"/>
      <c r="G91" s="168"/>
      <c r="H91" s="168"/>
      <c r="I91" s="169"/>
      <c r="J91" s="41"/>
      <c r="K91" s="172"/>
      <c r="L91" s="173"/>
      <c r="M91" s="4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5" ht="17.25" thickBot="1" x14ac:dyDescent="0.3">
      <c r="A92" s="41"/>
      <c r="B92" s="167"/>
      <c r="C92" s="170"/>
      <c r="D92" s="170"/>
      <c r="E92" s="170"/>
      <c r="F92" s="170"/>
      <c r="G92" s="170"/>
      <c r="H92" s="170"/>
      <c r="I92" s="171"/>
      <c r="J92" s="41"/>
      <c r="K92" s="174">
        <v>8994</v>
      </c>
      <c r="L92" s="17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5" ht="17.25" thickBot="1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64" t="s">
        <v>63</v>
      </c>
      <c r="L93" s="65" t="str">
        <f>IFERROR(3412.14/K82,"")</f>
        <v/>
      </c>
      <c r="M93" s="47"/>
      <c r="N93" s="47"/>
      <c r="P93" s="47"/>
      <c r="Q93" s="47"/>
      <c r="R93" s="47"/>
      <c r="S93" s="47"/>
      <c r="T93" s="47"/>
      <c r="U93" s="47"/>
      <c r="V93" s="47"/>
      <c r="W93" s="47"/>
      <c r="X93" s="47"/>
    </row>
    <row r="95" spans="1:25" x14ac:dyDescent="0.25">
      <c r="P95" s="111"/>
    </row>
    <row r="96" spans="1:25" x14ac:dyDescent="0.25">
      <c r="O96" s="1" t="s">
        <v>76</v>
      </c>
    </row>
    <row r="107" spans="5:6" x14ac:dyDescent="0.25">
      <c r="F107" s="111"/>
    </row>
    <row r="109" spans="5:6" x14ac:dyDescent="0.25">
      <c r="E109" s="111"/>
    </row>
  </sheetData>
  <mergeCells count="71">
    <mergeCell ref="A1:C1"/>
    <mergeCell ref="D1:U2"/>
    <mergeCell ref="V1:X4"/>
    <mergeCell ref="A2:C2"/>
    <mergeCell ref="A3:C3"/>
    <mergeCell ref="D3:U4"/>
    <mergeCell ref="A4:C4"/>
    <mergeCell ref="D6:E6"/>
    <mergeCell ref="L6:Q6"/>
    <mergeCell ref="A8:X8"/>
    <mergeCell ref="A9:A11"/>
    <mergeCell ref="B9:B10"/>
    <mergeCell ref="C9:D9"/>
    <mergeCell ref="E9:F9"/>
    <mergeCell ref="G9:G10"/>
    <mergeCell ref="H9:I9"/>
    <mergeCell ref="J9:J10"/>
    <mergeCell ref="W9:W10"/>
    <mergeCell ref="X9:X10"/>
    <mergeCell ref="A39:A40"/>
    <mergeCell ref="B39:B40"/>
    <mergeCell ref="C39:C40"/>
    <mergeCell ref="D39:D40"/>
    <mergeCell ref="H39:I40"/>
    <mergeCell ref="K39:L40"/>
    <mergeCell ref="N39:N41"/>
    <mergeCell ref="O39:S41"/>
    <mergeCell ref="K9:K10"/>
    <mergeCell ref="L9:L11"/>
    <mergeCell ref="M9:M11"/>
    <mergeCell ref="N9:N11"/>
    <mergeCell ref="O9:O10"/>
    <mergeCell ref="P9:V9"/>
    <mergeCell ref="H41:H42"/>
    <mergeCell ref="I41:I42"/>
    <mergeCell ref="K44:L44"/>
    <mergeCell ref="C45:I46"/>
    <mergeCell ref="K45:L45"/>
    <mergeCell ref="K46:L46"/>
    <mergeCell ref="J52:K52"/>
    <mergeCell ref="L52:Q52"/>
    <mergeCell ref="A54:W54"/>
    <mergeCell ref="A55:A57"/>
    <mergeCell ref="B55:B56"/>
    <mergeCell ref="C55:D55"/>
    <mergeCell ref="E55:E56"/>
    <mergeCell ref="F55:F56"/>
    <mergeCell ref="G55:G56"/>
    <mergeCell ref="H55:H56"/>
    <mergeCell ref="W55:W56"/>
    <mergeCell ref="V55:V56"/>
    <mergeCell ref="A85:A86"/>
    <mergeCell ref="B85:B86"/>
    <mergeCell ref="C85:C86"/>
    <mergeCell ref="D85:D86"/>
    <mergeCell ref="H85:I86"/>
    <mergeCell ref="K85:L86"/>
    <mergeCell ref="N85:N87"/>
    <mergeCell ref="O85:S87"/>
    <mergeCell ref="H87:H88"/>
    <mergeCell ref="I55:I57"/>
    <mergeCell ref="J55:J57"/>
    <mergeCell ref="K55:K57"/>
    <mergeCell ref="L55:L56"/>
    <mergeCell ref="M55:U55"/>
    <mergeCell ref="I87:I88"/>
    <mergeCell ref="K90:L90"/>
    <mergeCell ref="B91:B92"/>
    <mergeCell ref="C91:I92"/>
    <mergeCell ref="K91:L91"/>
    <mergeCell ref="K92:L9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Reporte de Gerencia</vt:lpstr>
      <vt:lpstr>Dia 01</vt:lpstr>
      <vt:lpstr>Dia 02</vt:lpstr>
      <vt:lpstr>Dia 03</vt:lpstr>
      <vt:lpstr>Dia 04</vt:lpstr>
      <vt:lpstr>Dia 05</vt:lpstr>
      <vt:lpstr>Dia 06</vt:lpstr>
      <vt:lpstr>Dia 07</vt:lpstr>
      <vt:lpstr>Dia 08</vt:lpstr>
      <vt:lpstr>Dia 09</vt:lpstr>
      <vt:lpstr>Dia 10</vt:lpstr>
      <vt:lpstr>Dia 11</vt:lpstr>
      <vt:lpstr>Dia 12</vt:lpstr>
      <vt:lpstr>Dia 13</vt:lpstr>
      <vt:lpstr>Dia 14</vt:lpstr>
      <vt:lpstr>Dia 15</vt:lpstr>
      <vt:lpstr>Dia 16</vt:lpstr>
      <vt:lpstr>Dia 17</vt:lpstr>
      <vt:lpstr>Dia 18</vt:lpstr>
      <vt:lpstr>Dia 19</vt:lpstr>
      <vt:lpstr>Dia 20</vt:lpstr>
      <vt:lpstr>Dia 21</vt:lpstr>
      <vt:lpstr>Dia 22</vt:lpstr>
      <vt:lpstr>Dia 23</vt:lpstr>
      <vt:lpstr>Dia 24</vt:lpstr>
      <vt:lpstr>Dia 25</vt:lpstr>
      <vt:lpstr>Dia 26</vt:lpstr>
      <vt:lpstr>Dia 27</vt:lpstr>
      <vt:lpstr>Dia 28</vt:lpstr>
      <vt:lpstr>Dia 29</vt:lpstr>
      <vt:lpstr>Dia 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Control G3</dc:creator>
  <cp:lastModifiedBy>Ernesto Munoz Suarez</cp:lastModifiedBy>
  <dcterms:created xsi:type="dcterms:W3CDTF">2026-04-02T03:24:25Z</dcterms:created>
  <dcterms:modified xsi:type="dcterms:W3CDTF">2026-05-12T20:07:39Z</dcterms:modified>
</cp:coreProperties>
</file>